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guye\Desktop\VBA\ACV\"/>
    </mc:Choice>
  </mc:AlternateContent>
  <xr:revisionPtr revIDLastSave="0" documentId="13_ncr:1_{48DABD58-A897-4D86-88D5-8D39544B61AD}" xr6:coauthVersionLast="47" xr6:coauthVersionMax="47" xr10:uidLastSave="{00000000-0000-0000-0000-000000000000}"/>
  <bookViews>
    <workbookView xWindow="-108" yWindow="-108" windowWidth="23256" windowHeight="12456" tabRatio="630" activeTab="5" xr2:uid="{00000000-000D-0000-FFFF-FFFF00000000}"/>
  </bookViews>
  <sheets>
    <sheet name="Code" sheetId="3" r:id="rId1"/>
    <sheet name="PAX" sheetId="7" r:id="rId2"/>
    <sheet name="FRT" sheetId="2" r:id="rId3"/>
    <sheet name="Sys1" sheetId="4" r:id="rId4"/>
    <sheet name="Offbal_Partial" sheetId="13" r:id="rId5"/>
    <sheet name="AWB" sheetId="9" r:id="rId6"/>
    <sheet name="Sys2" sheetId="8" r:id="rId7"/>
    <sheet name="Final UWS" sheetId="10" r:id="rId8"/>
    <sheet name="PALLET" sheetId="11" r:id="rId9"/>
    <sheet name="NOTOC" sheetId="12" r:id="rId10"/>
    <sheet name="VBA Code" sheetId="6" r:id="rId1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" i="3" l="1" a="1"/>
  <c r="E3" i="3" s="1"/>
  <c r="H50" i="10"/>
  <c r="U86" i="6"/>
  <c r="F50" i="11"/>
  <c r="P11" i="6"/>
  <c r="P10" i="6"/>
  <c r="P9" i="6"/>
  <c r="P8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<sst xmlns="http://schemas.openxmlformats.org/spreadsheetml/2006/main" count="1697" uniqueCount="231">
  <si>
    <t>ELI</t>
  </si>
  <si>
    <t>TRU</t>
  </si>
  <si>
    <t>BUP</t>
  </si>
  <si>
    <t>Sale</t>
  </si>
  <si>
    <t>P</t>
  </si>
  <si>
    <t>Doc No</t>
  </si>
  <si>
    <t>Orig</t>
  </si>
  <si>
    <t>Dest</t>
  </si>
  <si>
    <t>Pcs</t>
  </si>
  <si>
    <t>wt</t>
  </si>
  <si>
    <t>gvol</t>
  </si>
  <si>
    <t>Nature of good</t>
  </si>
  <si>
    <t>MD</t>
  </si>
  <si>
    <t>LD</t>
  </si>
  <si>
    <t>BULK</t>
  </si>
  <si>
    <t>Remark</t>
  </si>
  <si>
    <t>ELM</t>
  </si>
  <si>
    <t>VUN</t>
  </si>
  <si>
    <t>VSH</t>
  </si>
  <si>
    <t>QRT</t>
  </si>
  <si>
    <t>HST</t>
  </si>
  <si>
    <t>HEA</t>
  </si>
  <si>
    <t>ICE</t>
  </si>
  <si>
    <t>COL</t>
  </si>
  <si>
    <t>PIL</t>
  </si>
  <si>
    <t>PIP</t>
  </si>
  <si>
    <t>NST</t>
  </si>
  <si>
    <t>RLI</t>
  </si>
  <si>
    <t>RFL</t>
  </si>
  <si>
    <t>AVI</t>
  </si>
  <si>
    <t>OHG</t>
  </si>
  <si>
    <t>TOTAL</t>
  </si>
  <si>
    <t>est</t>
  </si>
  <si>
    <t>PLA</t>
  </si>
  <si>
    <t>AKE</t>
  </si>
  <si>
    <t>No ELM Found</t>
  </si>
  <si>
    <t>157-45678912</t>
  </si>
  <si>
    <t>STT</t>
  </si>
  <si>
    <t>AWBID</t>
  </si>
  <si>
    <t>DESTF</t>
  </si>
  <si>
    <t>DESTT</t>
  </si>
  <si>
    <t>PIECES</t>
  </si>
  <si>
    <t>WEIGHT</t>
  </si>
  <si>
    <t>SHC</t>
  </si>
  <si>
    <t>NATURE</t>
  </si>
  <si>
    <t>STOCK</t>
  </si>
  <si>
    <t>Total Pcs</t>
  </si>
  <si>
    <t>Remain Pcs</t>
  </si>
  <si>
    <t>Missing Doc</t>
  </si>
  <si>
    <t>Sys1</t>
  </si>
  <si>
    <t>Warning</t>
  </si>
  <si>
    <t>OK</t>
  </si>
  <si>
    <t>STH WRONG!</t>
  </si>
  <si>
    <t>Nature of Goods</t>
  </si>
  <si>
    <t>USA</t>
  </si>
  <si>
    <t>MIA</t>
  </si>
  <si>
    <t>St No</t>
  </si>
  <si>
    <t>ULD Type</t>
  </si>
  <si>
    <t>ULD No.</t>
  </si>
  <si>
    <t>Own</t>
  </si>
  <si>
    <t>Org</t>
  </si>
  <si>
    <t>Des</t>
  </si>
  <si>
    <t>No. of pcs</t>
  </si>
  <si>
    <t>Gross Wt</t>
  </si>
  <si>
    <t>Available Vol Code</t>
  </si>
  <si>
    <t>Volume % Filled</t>
  </si>
  <si>
    <t>Contour code</t>
  </si>
  <si>
    <t>Prty</t>
  </si>
  <si>
    <t>Cmdt code</t>
  </si>
  <si>
    <t>DG &amp; Special Handling Codes</t>
  </si>
  <si>
    <t>Remarks</t>
  </si>
  <si>
    <t>Main Deck</t>
  </si>
  <si>
    <t>Low Deck</t>
  </si>
  <si>
    <t>Bulk</t>
  </si>
  <si>
    <t>Unit number</t>
  </si>
  <si>
    <t>Contour</t>
  </si>
  <si>
    <t>Pallet</t>
  </si>
  <si>
    <t>Offbal DocNo</t>
  </si>
  <si>
    <t>Partial DocNo</t>
  </si>
  <si>
    <t>Station of Onloading</t>
  </si>
  <si>
    <t>Airway Number</t>
  </si>
  <si>
    <t>Content &amp; Description</t>
  </si>
  <si>
    <t>DOH</t>
  </si>
  <si>
    <t>Number of Packages</t>
  </si>
  <si>
    <t>Quantity</t>
  </si>
  <si>
    <t>Supplement information</t>
  </si>
  <si>
    <t>Code</t>
  </si>
  <si>
    <t>LOADED</t>
  </si>
  <si>
    <t>ULD ID</t>
  </si>
  <si>
    <t>Position</t>
  </si>
  <si>
    <t>DocNo</t>
  </si>
  <si>
    <t>UnitNo</t>
  </si>
  <si>
    <t>PMC12531QR</t>
  </si>
  <si>
    <t>CAL</t>
  </si>
  <si>
    <t>SFR</t>
  </si>
  <si>
    <t>157-12345678</t>
  </si>
  <si>
    <t>749-12345678</t>
  </si>
  <si>
    <t>367-12345678</t>
  </si>
  <si>
    <t>157-98765431</t>
  </si>
  <si>
    <t>749-98765432</t>
  </si>
  <si>
    <t>367-98765432</t>
  </si>
  <si>
    <t>157-45637891</t>
  </si>
  <si>
    <t>157-35798642</t>
  </si>
  <si>
    <t>HAN</t>
  </si>
  <si>
    <t>FRA</t>
  </si>
  <si>
    <t>ORD</t>
  </si>
  <si>
    <t>CDG</t>
  </si>
  <si>
    <t>QRT/HST</t>
  </si>
  <si>
    <t>ABC</t>
  </si>
  <si>
    <t>PIL/ABC</t>
  </si>
  <si>
    <t>BCD</t>
  </si>
  <si>
    <t>ABC/QRT</t>
  </si>
  <si>
    <t>ABC/TRU</t>
  </si>
  <si>
    <t>ELM FOUND!</t>
  </si>
  <si>
    <t>ELI/VUN/VSH/HEA</t>
  </si>
  <si>
    <t>ABC/TRU/UPLIFT 1P ONLY</t>
  </si>
  <si>
    <t>QRT/HST/PIL/UPLIFT AT LEAST 1P</t>
  </si>
  <si>
    <t>HK</t>
  </si>
  <si>
    <t xml:space="preserve"> VUN</t>
  </si>
  <si>
    <t xml:space="preserve"> QRT</t>
  </si>
  <si>
    <t>PIL/ABC/VUN</t>
  </si>
  <si>
    <t xml:space="preserve"> PIL</t>
  </si>
  <si>
    <t>VSH/QRT/ELI</t>
  </si>
  <si>
    <t xml:space="preserve"> VUN HEA</t>
  </si>
  <si>
    <t>ABC/ELM</t>
  </si>
  <si>
    <t xml:space="preserve"> ELM</t>
  </si>
  <si>
    <t>No Missing DocNo</t>
  </si>
  <si>
    <t>Weight</t>
  </si>
  <si>
    <t>ACAS</t>
  </si>
  <si>
    <t>TSA+MAWB</t>
  </si>
  <si>
    <t>INTERLINE</t>
  </si>
  <si>
    <t>FWB</t>
  </si>
  <si>
    <t>FHL</t>
  </si>
  <si>
    <t>RCS</t>
  </si>
  <si>
    <t>NO</t>
  </si>
  <si>
    <t>Sys1 contains only HK</t>
  </si>
  <si>
    <t>Folder</t>
  </si>
  <si>
    <t>/</t>
  </si>
  <si>
    <t>CONSO</t>
  </si>
  <si>
    <t>0/0.00</t>
  </si>
  <si>
    <t>FREIGHT</t>
  </si>
  <si>
    <t>MAWB</t>
  </si>
  <si>
    <t>GCR</t>
  </si>
  <si>
    <t>EXPVL</t>
  </si>
  <si>
    <t>18.95</t>
  </si>
  <si>
    <t>AMS</t>
  </si>
  <si>
    <t>REMAIN</t>
  </si>
  <si>
    <t>PAX</t>
  </si>
  <si>
    <t>AWB</t>
  </si>
  <si>
    <t>Total Weight</t>
  </si>
  <si>
    <t>Remain Weight</t>
  </si>
  <si>
    <t>PMC</t>
  </si>
  <si>
    <t>QR</t>
  </si>
  <si>
    <t>C</t>
  </si>
  <si>
    <t>ELI/HEA</t>
  </si>
  <si>
    <t>Total</t>
  </si>
  <si>
    <t>Unit Number</t>
  </si>
  <si>
    <t>Special Code</t>
  </si>
  <si>
    <t>CMDT Code</t>
  </si>
  <si>
    <t>Q4</t>
  </si>
  <si>
    <t>Q6</t>
  </si>
  <si>
    <t>Q5</t>
  </si>
  <si>
    <t>PWG</t>
  </si>
  <si>
    <t>PLD</t>
  </si>
  <si>
    <t>PWG + PLD sufficient</t>
  </si>
  <si>
    <t>PMC77849QR</t>
  </si>
  <si>
    <t>PMC37381QR</t>
  </si>
  <si>
    <t>PMC72090QR</t>
  </si>
  <si>
    <t>PMC22821QR</t>
  </si>
  <si>
    <t>PMC54261QR</t>
  </si>
  <si>
    <t>PMC19240QR</t>
  </si>
  <si>
    <t>PMC20108QR</t>
  </si>
  <si>
    <t>PMC47022QR</t>
  </si>
  <si>
    <t>PMC17854QR</t>
  </si>
  <si>
    <t>PMC61730QR</t>
  </si>
  <si>
    <t>PMC17737QR</t>
  </si>
  <si>
    <t>PMC11618QR</t>
  </si>
  <si>
    <t>PMC37052QR</t>
  </si>
  <si>
    <t>PMC28309QR</t>
  </si>
  <si>
    <t>PMC54078QR</t>
  </si>
  <si>
    <t>PMC68601QR</t>
  </si>
  <si>
    <t>PMC56739QR</t>
  </si>
  <si>
    <t>PMC44006QR</t>
  </si>
  <si>
    <t>PMC76974QR</t>
  </si>
  <si>
    <t>PMC36893QR</t>
  </si>
  <si>
    <t>PMC72387QR</t>
  </si>
  <si>
    <t>PMC59146QR</t>
  </si>
  <si>
    <t>PMC28818QR</t>
  </si>
  <si>
    <t>PMC12082QR</t>
  </si>
  <si>
    <t>PMC52931QR</t>
  </si>
  <si>
    <t>PMC72404QR</t>
  </si>
  <si>
    <t>PMC49029QR</t>
  </si>
  <si>
    <t>PMC76526QR</t>
  </si>
  <si>
    <t>PMC61863QR</t>
  </si>
  <si>
    <t>PMC61128QR</t>
  </si>
  <si>
    <t>PMC35486QR</t>
  </si>
  <si>
    <t>PMC49009QR</t>
  </si>
  <si>
    <t>PMC67938QR</t>
  </si>
  <si>
    <t>PMC25963QR</t>
  </si>
  <si>
    <t>PMC61004QR</t>
  </si>
  <si>
    <t>PMC41870QR</t>
  </si>
  <si>
    <t>PMC15111QR</t>
  </si>
  <si>
    <t>PMC23456QR</t>
  </si>
  <si>
    <t>Sl No</t>
  </si>
  <si>
    <t>mnfst wt</t>
  </si>
  <si>
    <t>gross wt</t>
  </si>
  <si>
    <t>tare wt</t>
  </si>
  <si>
    <t>wt unit</t>
  </si>
  <si>
    <t>type</t>
  </si>
  <si>
    <t>dest</t>
  </si>
  <si>
    <t>uld priority</t>
  </si>
  <si>
    <t>load category</t>
  </si>
  <si>
    <t>shc</t>
  </si>
  <si>
    <t>Sl. No</t>
  </si>
  <si>
    <t>load cate</t>
  </si>
  <si>
    <t>BLK1</t>
  </si>
  <si>
    <t>0.00</t>
  </si>
  <si>
    <t>K</t>
  </si>
  <si>
    <t>PMC23456QR,15742822242,155PCS</t>
  </si>
  <si>
    <t>PMC23456QR,15742822242,154PCS</t>
  </si>
  <si>
    <t>157-9876543</t>
  </si>
  <si>
    <t>Q5 sufficient</t>
  </si>
  <si>
    <t>1 Q4 EXCESS!</t>
  </si>
  <si>
    <t>1 Q6 MISSING!</t>
  </si>
  <si>
    <t xml:space="preserve"> TRU</t>
  </si>
  <si>
    <t>kjgh</t>
  </si>
  <si>
    <t xml:space="preserve"> VUN PIL</t>
  </si>
  <si>
    <t>157-79876543</t>
  </si>
  <si>
    <t>C:\Users\nguye\Desktop\VBA\ACV</t>
  </si>
  <si>
    <t>Cut</t>
  </si>
  <si>
    <t>Sys1 contains others value than HK! Go check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</si>
</sst>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rgb="FFFF0000"/>
      <name val="Arial"/>
      <family val="2"/>
      <scheme val="minor"/>
    </font>
    <font>
      <b/>
      <sz val="11"/>
      <color rgb="FFFF0000"/>
      <name val="Arial"/>
      <family val="2"/>
      <scheme val="minor"/>
    </font>
    <font>
      <i/>
      <sz val="11"/>
      <color rgb="FF808080"/>
      <name val="Arial"/>
      <family val="2"/>
      <scheme val="minor"/>
    </font>
    <font>
      <sz val="11"/>
      <color rgb="FF000000"/>
      <name val="Arial"/>
      <family val="2"/>
    </font>
    <font>
      <sz val="11"/>
      <color rgb="FF000000"/>
      <name val="Arial"/>
      <family val="2"/>
      <scheme val="minor"/>
    </font>
    <font>
      <sz val="11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5B9BD5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1" fillId="0" borderId="0" xfId="0" applyFont="1"/>
    <xf numFmtId="0" fontId="0" fillId="2" borderId="0" xfId="0" applyFill="1"/>
    <xf numFmtId="0" fontId="2" fillId="0" borderId="0" xfId="0" applyFont="1"/>
    <xf numFmtId="0" fontId="3" fillId="0" borderId="0" xfId="0" applyFont="1"/>
    <xf numFmtId="0" fontId="0" fillId="0" borderId="1" xfId="0" applyBorder="1" applyAlignment="1">
      <alignment vertical="center" wrapText="1"/>
    </xf>
    <xf numFmtId="0" fontId="0" fillId="0" borderId="1" xfId="0" applyBorder="1"/>
    <xf numFmtId="0" fontId="1" fillId="0" borderId="1" xfId="0" applyFont="1" applyBorder="1"/>
    <xf numFmtId="0" fontId="1" fillId="0" borderId="0" xfId="0" applyFont="1" applyAlignment="1">
      <alignment horizontal="center"/>
    </xf>
    <xf numFmtId="0" fontId="4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6" fillId="0" borderId="0" xfId="0" applyFont="1"/>
    <xf numFmtId="9" fontId="0" fillId="0" borderId="0" xfId="0" applyNumberFormat="1"/>
    <xf numFmtId="0" fontId="0" fillId="0" borderId="4" xfId="0" applyBorder="1" applyAlignment="1">
      <alignment vertical="center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left"/>
    </xf>
    <xf numFmtId="0" fontId="0" fillId="0" borderId="1" xfId="0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22" fontId="0" fillId="0" borderId="0" xfId="0" applyNumberFormat="1"/>
  </cellXfs>
  <cellStyles count="1">
    <cellStyle name="Normal" xfId="0" builtinId="0"/>
  </cellStyles>
  <dxfs count="2">
    <dxf>
      <font>
        <b/>
        <i val="0"/>
        <color rgb="FFFFA500"/>
      </font>
      <fill>
        <patternFill>
          <bgColor rgb="FFFFFF00"/>
        </patternFill>
      </fill>
    </dxf>
    <dxf>
      <font>
        <b/>
        <i val="0"/>
        <color rgb="FFFFA5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1657350</xdr:colOff>
          <xdr:row>2</xdr:row>
          <xdr:rowOff>121920</xdr:rowOff>
        </xdr:from>
        <xdr:to>
          <xdr:col>15</xdr:col>
          <xdr:colOff>400050</xdr:colOff>
          <xdr:row>7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160020</xdr:colOff>
          <xdr:row>2</xdr:row>
          <xdr:rowOff>137160</xdr:rowOff>
        </xdr:from>
        <xdr:to>
          <xdr:col>14</xdr:col>
          <xdr:colOff>1413510</xdr:colOff>
          <xdr:row>6</xdr:row>
          <xdr:rowOff>137160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422910</xdr:colOff>
          <xdr:row>2</xdr:row>
          <xdr:rowOff>106680</xdr:rowOff>
        </xdr:from>
        <xdr:to>
          <xdr:col>17</xdr:col>
          <xdr:colOff>842010</xdr:colOff>
          <xdr:row>7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1798320</xdr:colOff>
          <xdr:row>2</xdr:row>
          <xdr:rowOff>160020</xdr:rowOff>
        </xdr:from>
        <xdr:to>
          <xdr:col>14</xdr:col>
          <xdr:colOff>83820</xdr:colOff>
          <xdr:row>7</xdr:row>
          <xdr:rowOff>45720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382905</xdr:colOff>
          <xdr:row>2</xdr:row>
          <xdr:rowOff>137160</xdr:rowOff>
        </xdr:from>
        <xdr:to>
          <xdr:col>16</xdr:col>
          <xdr:colOff>706755</xdr:colOff>
          <xdr:row>7</xdr:row>
          <xdr:rowOff>60960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106680</xdr:colOff>
          <xdr:row>2</xdr:row>
          <xdr:rowOff>137160</xdr:rowOff>
        </xdr:from>
        <xdr:to>
          <xdr:col>18</xdr:col>
          <xdr:colOff>120015</xdr:colOff>
          <xdr:row>7</xdr:row>
          <xdr:rowOff>68580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45720</xdr:colOff>
          <xdr:row>0</xdr:row>
          <xdr:rowOff>114300</xdr:rowOff>
        </xdr:from>
        <xdr:to>
          <xdr:col>11</xdr:col>
          <xdr:colOff>601980</xdr:colOff>
          <xdr:row>3</xdr:row>
          <xdr:rowOff>45720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38100</xdr:colOff>
          <xdr:row>4</xdr:row>
          <xdr:rowOff>7620</xdr:rowOff>
        </xdr:from>
        <xdr:to>
          <xdr:col>11</xdr:col>
          <xdr:colOff>594360</xdr:colOff>
          <xdr:row>6</xdr:row>
          <xdr:rowOff>99060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5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60960</xdr:colOff>
          <xdr:row>7</xdr:row>
          <xdr:rowOff>68580</xdr:rowOff>
        </xdr:from>
        <xdr:to>
          <xdr:col>11</xdr:col>
          <xdr:colOff>617220</xdr:colOff>
          <xdr:row>9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45720</xdr:colOff>
          <xdr:row>4</xdr:row>
          <xdr:rowOff>167640</xdr:rowOff>
        </xdr:from>
        <xdr:to>
          <xdr:col>16</xdr:col>
          <xdr:colOff>678180</xdr:colOff>
          <xdr:row>6</xdr:row>
          <xdr:rowOff>167640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716280</xdr:colOff>
          <xdr:row>4</xdr:row>
          <xdr:rowOff>167640</xdr:rowOff>
        </xdr:from>
        <xdr:to>
          <xdr:col>17</xdr:col>
          <xdr:colOff>388620</xdr:colOff>
          <xdr:row>6</xdr:row>
          <xdr:rowOff>167640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17</xdr:col>
          <xdr:colOff>426720</xdr:colOff>
          <xdr:row>4</xdr:row>
          <xdr:rowOff>167640</xdr:rowOff>
        </xdr:from>
        <xdr:to>
          <xdr:col>17</xdr:col>
          <xdr:colOff>1059180</xdr:colOff>
          <xdr:row>6</xdr:row>
          <xdr:rowOff>167640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30480</xdr:colOff>
          <xdr:row>3</xdr:row>
          <xdr:rowOff>83820</xdr:rowOff>
        </xdr:from>
        <xdr:to>
          <xdr:col>19</xdr:col>
          <xdr:colOff>731520</xdr:colOff>
          <xdr:row>5</xdr:row>
          <xdr:rowOff>167640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9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914400</xdr:colOff>
          <xdr:row>3</xdr:row>
          <xdr:rowOff>99060</xdr:rowOff>
        </xdr:from>
        <xdr:to>
          <xdr:col>20</xdr:col>
          <xdr:colOff>647700</xdr:colOff>
          <xdr:row>6</xdr:row>
          <xdr:rowOff>7620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9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838200</xdr:colOff>
          <xdr:row>3</xdr:row>
          <xdr:rowOff>99060</xdr:rowOff>
        </xdr:from>
        <xdr:to>
          <xdr:col>21</xdr:col>
          <xdr:colOff>563880</xdr:colOff>
          <xdr:row>6</xdr:row>
          <xdr:rowOff>7620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9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vi-V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this 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2</xdr:row>
      <xdr:rowOff>152400</xdr:rowOff>
    </xdr:from>
    <xdr:to>
      <xdr:col>11</xdr:col>
      <xdr:colOff>156210</xdr:colOff>
      <xdr:row>28</xdr:row>
      <xdr:rowOff>114300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23BC2D79-7F38-86A8-CB38-1F8C77625B2F}"/>
            </a:ext>
          </a:extLst>
        </xdr:cNvPr>
        <xdr:cNvSpPr txBox="1"/>
      </xdr:nvSpPr>
      <xdr:spPr>
        <a:xfrm>
          <a:off x="830580" y="502920"/>
          <a:ext cx="6701790" cy="451866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vi-VN" sz="1100"/>
            <a:t>Sub cololpal()</a:t>
          </a:r>
        </a:p>
        <a:p>
          <a:endParaRPr lang="vi-VN" sz="1100"/>
        </a:p>
        <a:p>
          <a:r>
            <a:rPr lang="vi-VN" sz="1100"/>
            <a:t>Dim a As Integer</a:t>
          </a:r>
        </a:p>
        <a:p>
          <a:r>
            <a:rPr lang="vi-VN" sz="1100"/>
            <a:t>Dim b As Integer</a:t>
          </a:r>
        </a:p>
        <a:p>
          <a:r>
            <a:rPr lang="vi-VN" sz="1100"/>
            <a:t>Dim c As Integer</a:t>
          </a:r>
        </a:p>
        <a:p>
          <a:r>
            <a:rPr lang="vi-VN" sz="1100"/>
            <a:t>Dim i As Integer</a:t>
          </a:r>
        </a:p>
        <a:p>
          <a:endParaRPr lang="vi-VN" sz="1100"/>
        </a:p>
        <a:p>
          <a:r>
            <a:rPr lang="vi-VN" sz="1100"/>
            <a:t>For i = 1 To 100</a:t>
          </a:r>
        </a:p>
        <a:p>
          <a:r>
            <a:rPr lang="vi-VN" sz="1100"/>
            <a:t>    a = Int(255 * Rnd)</a:t>
          </a:r>
        </a:p>
        <a:p>
          <a:r>
            <a:rPr lang="vi-VN" sz="1100"/>
            <a:t>    b = Int(255 * Rnd)</a:t>
          </a:r>
        </a:p>
        <a:p>
          <a:r>
            <a:rPr lang="vi-VN" sz="1100"/>
            <a:t>    c = Int(255 * Rnd)</a:t>
          </a:r>
        </a:p>
        <a:p>
          <a:r>
            <a:rPr lang="vi-VN" sz="1100"/>
            <a:t>    </a:t>
          </a:r>
        </a:p>
        <a:p>
          <a:r>
            <a:rPr lang="vi-VN" sz="1100"/>
            <a:t>    Range("J8").Value = a</a:t>
          </a:r>
        </a:p>
        <a:p>
          <a:r>
            <a:rPr lang="vi-VN" sz="1100"/>
            <a:t>    Range("J9").Value = b</a:t>
          </a:r>
        </a:p>
        <a:p>
          <a:r>
            <a:rPr lang="vi-VN" sz="1100"/>
            <a:t>    Range("J10").Value = c</a:t>
          </a:r>
        </a:p>
        <a:p>
          <a:r>
            <a:rPr lang="vi-VN" sz="1100"/>
            <a:t>    </a:t>
          </a:r>
        </a:p>
        <a:p>
          <a:r>
            <a:rPr lang="vi-VN" sz="1100"/>
            <a:t>    Range("C4:C15").Interior.Color = RGB(a, b, c)</a:t>
          </a:r>
        </a:p>
        <a:p>
          <a:r>
            <a:rPr lang="vi-VN" sz="1100"/>
            <a:t>    Range("D4:D15").Interior.Color = RGB(a, c, b)</a:t>
          </a:r>
        </a:p>
        <a:p>
          <a:r>
            <a:rPr lang="vi-VN" sz="1100"/>
            <a:t>    Range("E4:E15").Interior.Color = RGB(b, a, c)</a:t>
          </a:r>
        </a:p>
        <a:p>
          <a:r>
            <a:rPr lang="vi-VN" sz="1100"/>
            <a:t>    Range("F4:F15").Interior.Color = RGB(b, c, a)</a:t>
          </a:r>
        </a:p>
        <a:p>
          <a:r>
            <a:rPr lang="vi-VN" sz="1100"/>
            <a:t>    Range("G4:G15").Interior.Color = RGB(c, a, b)</a:t>
          </a:r>
        </a:p>
        <a:p>
          <a:r>
            <a:rPr lang="vi-VN" sz="1100"/>
            <a:t>    Range("H4:H15").Interior.Color = RGB(c, b, a)</a:t>
          </a:r>
        </a:p>
        <a:p>
          <a:r>
            <a:rPr lang="vi-VN" sz="1100"/>
            <a:t>    </a:t>
          </a:r>
        </a:p>
        <a:p>
          <a:r>
            <a:rPr lang="vi-VN" sz="1100"/>
            <a:t>Next i</a:t>
          </a:r>
        </a:p>
        <a:p>
          <a:endParaRPr lang="vi-VN" sz="1100"/>
        </a:p>
        <a:p>
          <a:r>
            <a:rPr lang="vi-VN" sz="1100"/>
            <a:t>MsgBox "Done bae"</a:t>
          </a:r>
        </a:p>
        <a:p>
          <a:r>
            <a:rPr lang="vi-VN" sz="1100"/>
            <a:t>End Sub</a:t>
          </a:r>
        </a:p>
        <a:p>
          <a:endParaRPr lang="vi-V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7B68A-7ED0-4820-8022-D21CA705B03B}">
  <sheetPr codeName="B01Code">
    <tabColor theme="4"/>
  </sheetPr>
  <dimension ref="A1:E20"/>
  <sheetViews>
    <sheetView workbookViewId="0">
      <selection activeCell="E3" sqref="E3"/>
    </sheetView>
  </sheetViews>
  <sheetFormatPr defaultRowHeight="13.8" x14ac:dyDescent="0.25"/>
  <cols>
    <col min="1" max="1" width="15.19921875" bestFit="1" customWidth="1"/>
  </cols>
  <sheetData>
    <row r="1" spans="1:5" x14ac:dyDescent="0.25">
      <c r="A1" s="1" t="s">
        <v>53</v>
      </c>
      <c r="B1" s="1" t="s">
        <v>54</v>
      </c>
      <c r="D1" t="s">
        <v>136</v>
      </c>
      <c r="E1" t="s">
        <v>228</v>
      </c>
    </row>
    <row r="2" spans="1:5" x14ac:dyDescent="0.25">
      <c r="A2" t="s">
        <v>17</v>
      </c>
      <c r="B2" t="s">
        <v>55</v>
      </c>
    </row>
    <row r="3" spans="1:5" x14ac:dyDescent="0.25">
      <c r="A3" t="s">
        <v>18</v>
      </c>
      <c r="B3" s="1" t="s">
        <v>93</v>
      </c>
      <c r="E3" t="str" cm="1">
        <f t="array" aca="1" ref="E3" ca="1">LEFT(CELL("filename",A1), FIND("[",CELL("filename",A1))-1)</f>
        <v>C:\Users\nguye\Desktop\VBA\ACV\</v>
      </c>
    </row>
    <row r="4" spans="1:5" x14ac:dyDescent="0.25">
      <c r="A4" t="s">
        <v>0</v>
      </c>
      <c r="B4" s="1" t="s">
        <v>94</v>
      </c>
    </row>
    <row r="5" spans="1:5" x14ac:dyDescent="0.25">
      <c r="A5" t="s">
        <v>16</v>
      </c>
      <c r="B5" s="1" t="s">
        <v>105</v>
      </c>
    </row>
    <row r="6" spans="1:5" x14ac:dyDescent="0.25">
      <c r="A6" t="s">
        <v>19</v>
      </c>
    </row>
    <row r="7" spans="1:5" x14ac:dyDescent="0.25">
      <c r="A7" t="s">
        <v>20</v>
      </c>
    </row>
    <row r="8" spans="1:5" x14ac:dyDescent="0.25">
      <c r="A8" t="s">
        <v>2</v>
      </c>
    </row>
    <row r="9" spans="1:5" x14ac:dyDescent="0.25">
      <c r="A9" t="s">
        <v>21</v>
      </c>
    </row>
    <row r="10" spans="1:5" x14ac:dyDescent="0.25">
      <c r="A10" t="s">
        <v>22</v>
      </c>
    </row>
    <row r="11" spans="1:5" x14ac:dyDescent="0.25">
      <c r="A11" t="s">
        <v>23</v>
      </c>
    </row>
    <row r="12" spans="1:5" x14ac:dyDescent="0.25">
      <c r="A12" t="s">
        <v>24</v>
      </c>
    </row>
    <row r="13" spans="1:5" x14ac:dyDescent="0.25">
      <c r="A13" t="s">
        <v>25</v>
      </c>
    </row>
    <row r="14" spans="1:5" x14ac:dyDescent="0.25">
      <c r="A14" t="s">
        <v>1</v>
      </c>
    </row>
    <row r="15" spans="1:5" x14ac:dyDescent="0.25">
      <c r="A15" t="s">
        <v>26</v>
      </c>
    </row>
    <row r="16" spans="1:5" x14ac:dyDescent="0.25">
      <c r="A16" t="s">
        <v>27</v>
      </c>
    </row>
    <row r="17" spans="1:1" x14ac:dyDescent="0.25">
      <c r="A17" t="s">
        <v>28</v>
      </c>
    </row>
    <row r="18" spans="1:1" x14ac:dyDescent="0.25">
      <c r="A18" t="s">
        <v>26</v>
      </c>
    </row>
    <row r="19" spans="1:1" x14ac:dyDescent="0.25">
      <c r="A19" t="s">
        <v>29</v>
      </c>
    </row>
    <row r="20" spans="1:1" x14ac:dyDescent="0.25">
      <c r="A20" t="s">
        <v>30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D3CA4-EEBC-4C20-BEBD-A38C8DABACF7}">
  <sheetPr codeName="G01PAX">
    <tabColor theme="9"/>
  </sheetPr>
  <dimension ref="A9:AB23"/>
  <sheetViews>
    <sheetView zoomScale="80" zoomScaleNormal="80" workbookViewId="0">
      <selection activeCell="M29" sqref="M29"/>
    </sheetView>
  </sheetViews>
  <sheetFormatPr defaultRowHeight="13.8" x14ac:dyDescent="0.25"/>
  <cols>
    <col min="1" max="1" width="5.296875" customWidth="1"/>
    <col min="2" max="2" width="12.5" bestFit="1" customWidth="1"/>
    <col min="8" max="8" width="16.5" bestFit="1" customWidth="1"/>
    <col min="9" max="9" width="3.19921875" bestFit="1" customWidth="1"/>
    <col min="10" max="10" width="4.19921875" bestFit="1" customWidth="1"/>
    <col min="11" max="11" width="4.5" bestFit="1" customWidth="1"/>
    <col min="12" max="12" width="5.59765625" bestFit="1" customWidth="1"/>
    <col min="13" max="13" width="7.3984375" bestFit="1" customWidth="1"/>
    <col min="15" max="15" width="31.09765625" bestFit="1" customWidth="1"/>
    <col min="16" max="16" width="5.5" bestFit="1" customWidth="1"/>
    <col min="17" max="17" width="9.59765625" bestFit="1" customWidth="1"/>
    <col min="18" max="18" width="13.8984375" bestFit="1" customWidth="1"/>
    <col min="19" max="19" width="17" bestFit="1" customWidth="1"/>
    <col min="20" max="20" width="7.8984375" bestFit="1" customWidth="1"/>
    <col min="22" max="22" width="6" bestFit="1" customWidth="1"/>
    <col min="23" max="23" width="11.3984375" bestFit="1" customWidth="1"/>
    <col min="24" max="24" width="3.69921875" bestFit="1" customWidth="1"/>
    <col min="25" max="25" width="10.8984375" bestFit="1" customWidth="1"/>
    <col min="26" max="26" width="5" bestFit="1" customWidth="1"/>
    <col min="27" max="27" width="4.5" bestFit="1" customWidth="1"/>
    <col min="28" max="28" width="4.8984375" bestFit="1" customWidth="1"/>
  </cols>
  <sheetData>
    <row r="9" spans="1:28" x14ac:dyDescent="0.25">
      <c r="O9" s="8" t="s">
        <v>49</v>
      </c>
      <c r="P9" s="17" t="s">
        <v>50</v>
      </c>
      <c r="Q9" s="17"/>
      <c r="R9" s="8"/>
      <c r="S9" s="8"/>
      <c r="T9" s="8"/>
      <c r="U9" s="8"/>
      <c r="V9" s="8"/>
      <c r="W9" s="8"/>
      <c r="X9" s="8"/>
      <c r="Y9" s="8"/>
      <c r="Z9" s="8"/>
      <c r="AA9" s="8"/>
      <c r="AB9" s="8"/>
    </row>
    <row r="10" spans="1:28" x14ac:dyDescent="0.25">
      <c r="A10" s="6" t="s">
        <v>4</v>
      </c>
      <c r="B10" s="6" t="s">
        <v>5</v>
      </c>
      <c r="C10" s="6" t="s">
        <v>6</v>
      </c>
      <c r="D10" s="6" t="s">
        <v>7</v>
      </c>
      <c r="E10" s="6" t="s">
        <v>8</v>
      </c>
      <c r="F10" s="6" t="s">
        <v>9</v>
      </c>
      <c r="G10" s="6" t="s">
        <v>10</v>
      </c>
      <c r="H10" s="7" t="s">
        <v>11</v>
      </c>
      <c r="I10" s="6" t="s">
        <v>13</v>
      </c>
      <c r="J10" s="6" t="s">
        <v>33</v>
      </c>
      <c r="K10" s="6" t="s">
        <v>34</v>
      </c>
      <c r="L10" s="6" t="s">
        <v>14</v>
      </c>
      <c r="M10" s="6" t="s">
        <v>15</v>
      </c>
      <c r="O10" s="8" t="s">
        <v>53</v>
      </c>
      <c r="P10" s="8" t="s">
        <v>3</v>
      </c>
      <c r="Q10" s="8" t="s">
        <v>49</v>
      </c>
      <c r="R10" s="8" t="s">
        <v>16</v>
      </c>
      <c r="S10" s="8" t="s">
        <v>90</v>
      </c>
      <c r="T10" s="8" t="s">
        <v>127</v>
      </c>
      <c r="U10" s="8"/>
      <c r="V10" s="8" t="s">
        <v>128</v>
      </c>
      <c r="W10" s="8" t="s">
        <v>129</v>
      </c>
      <c r="X10" s="8" t="s">
        <v>0</v>
      </c>
      <c r="Y10" s="8" t="s">
        <v>130</v>
      </c>
      <c r="Z10" s="8" t="s">
        <v>131</v>
      </c>
      <c r="AA10" s="8" t="s">
        <v>132</v>
      </c>
      <c r="AB10" s="8" t="s">
        <v>133</v>
      </c>
    </row>
    <row r="11" spans="1:28" ht="14.4" x14ac:dyDescent="0.3">
      <c r="A11" s="6">
        <v>1</v>
      </c>
      <c r="B11" s="6" t="s">
        <v>95</v>
      </c>
      <c r="C11" s="6" t="s">
        <v>103</v>
      </c>
      <c r="D11" s="6" t="s">
        <v>55</v>
      </c>
      <c r="E11" s="6">
        <v>8</v>
      </c>
      <c r="F11" s="6">
        <v>2000</v>
      </c>
      <c r="G11" s="6">
        <v>9216</v>
      </c>
      <c r="H11" s="6" t="s">
        <v>114</v>
      </c>
      <c r="I11" s="6"/>
      <c r="J11" s="18">
        <v>1</v>
      </c>
      <c r="K11" s="6"/>
      <c r="L11" s="6"/>
      <c r="M11" s="6"/>
      <c r="O11" t="s">
        <v>122</v>
      </c>
      <c r="P11" s="4" t="s">
        <v>119</v>
      </c>
      <c r="Q11" s="4" t="s">
        <v>123</v>
      </c>
      <c r="R11" s="9" t="s">
        <v>35</v>
      </c>
      <c r="S11" s="9" t="s">
        <v>126</v>
      </c>
      <c r="T11">
        <v>2000</v>
      </c>
      <c r="V11" t="s">
        <v>55</v>
      </c>
      <c r="W11" t="s">
        <v>55</v>
      </c>
      <c r="X11" t="s">
        <v>134</v>
      </c>
      <c r="Y11" s="10"/>
      <c r="Z11" t="s">
        <v>134</v>
      </c>
      <c r="AA11" t="s">
        <v>134</v>
      </c>
      <c r="AB11" t="s">
        <v>134</v>
      </c>
    </row>
    <row r="12" spans="1:28" ht="14.4" x14ac:dyDescent="0.3">
      <c r="A12" s="6">
        <v>2</v>
      </c>
      <c r="B12" s="6" t="s">
        <v>96</v>
      </c>
      <c r="C12" s="6" t="s">
        <v>103</v>
      </c>
      <c r="D12" s="6" t="s">
        <v>104</v>
      </c>
      <c r="E12" s="6">
        <v>6</v>
      </c>
      <c r="F12" s="6">
        <v>1750</v>
      </c>
      <c r="G12" s="6">
        <v>10000</v>
      </c>
      <c r="H12" s="6" t="s">
        <v>107</v>
      </c>
      <c r="I12" s="18">
        <v>1</v>
      </c>
      <c r="J12" s="19"/>
      <c r="K12" s="6"/>
      <c r="L12" s="6"/>
      <c r="M12" s="6"/>
      <c r="O12" t="s">
        <v>116</v>
      </c>
      <c r="P12" s="4" t="s">
        <v>121</v>
      </c>
      <c r="Q12" s="9"/>
      <c r="R12" s="9" t="s">
        <v>35</v>
      </c>
      <c r="S12" s="9" t="s">
        <v>126</v>
      </c>
      <c r="T12">
        <v>875</v>
      </c>
      <c r="V12" s="10"/>
      <c r="W12" s="10"/>
      <c r="X12" s="10"/>
      <c r="Y12" t="s">
        <v>134</v>
      </c>
      <c r="Z12" t="s">
        <v>134</v>
      </c>
      <c r="AA12" t="s">
        <v>134</v>
      </c>
      <c r="AB12" t="s">
        <v>134</v>
      </c>
    </row>
    <row r="13" spans="1:28" ht="14.4" x14ac:dyDescent="0.3">
      <c r="A13" s="6">
        <v>3</v>
      </c>
      <c r="B13" s="6" t="s">
        <v>97</v>
      </c>
      <c r="C13" s="6" t="s">
        <v>103</v>
      </c>
      <c r="D13" s="6" t="s">
        <v>93</v>
      </c>
      <c r="E13" s="6">
        <v>8</v>
      </c>
      <c r="F13" s="6">
        <v>2000</v>
      </c>
      <c r="G13" s="6">
        <v>5673</v>
      </c>
      <c r="H13" s="6" t="s">
        <v>124</v>
      </c>
      <c r="I13" s="20"/>
      <c r="J13" s="20"/>
      <c r="K13" s="6"/>
      <c r="L13" s="6"/>
      <c r="M13" s="6"/>
      <c r="O13" t="s">
        <v>108</v>
      </c>
      <c r="P13" s="9"/>
      <c r="Q13" s="4" t="s">
        <v>125</v>
      </c>
      <c r="R13" s="4" t="s">
        <v>113</v>
      </c>
      <c r="S13" s="9" t="s">
        <v>126</v>
      </c>
      <c r="T13">
        <v>2000</v>
      </c>
      <c r="V13" t="s">
        <v>93</v>
      </c>
      <c r="W13" t="s">
        <v>93</v>
      </c>
      <c r="X13" s="10"/>
      <c r="Y13" t="s">
        <v>134</v>
      </c>
      <c r="Z13" t="s">
        <v>134</v>
      </c>
      <c r="AA13" t="s">
        <v>134</v>
      </c>
      <c r="AB13" t="s">
        <v>134</v>
      </c>
    </row>
    <row r="14" spans="1:28" ht="14.4" x14ac:dyDescent="0.3">
      <c r="B14" t="s">
        <v>225</v>
      </c>
      <c r="P14" s="9"/>
      <c r="Q14" s="9"/>
      <c r="R14" s="9"/>
      <c r="S14" s="4"/>
      <c r="V14" s="10"/>
      <c r="W14" s="10"/>
      <c r="X14" s="10"/>
      <c r="Y14" s="10"/>
      <c r="Z14" s="10"/>
      <c r="AA14" s="10"/>
      <c r="AB14" s="10"/>
    </row>
    <row r="15" spans="1:28" ht="14.4" x14ac:dyDescent="0.3">
      <c r="A15" s="6">
        <v>4</v>
      </c>
      <c r="B15" s="6" t="s">
        <v>98</v>
      </c>
      <c r="C15" s="6" t="s">
        <v>103</v>
      </c>
      <c r="D15" s="6" t="s">
        <v>93</v>
      </c>
      <c r="E15" s="6">
        <v>6</v>
      </c>
      <c r="F15" s="6">
        <v>1150</v>
      </c>
      <c r="G15" s="6">
        <v>9333</v>
      </c>
      <c r="H15" s="6" t="s">
        <v>120</v>
      </c>
      <c r="I15" s="6">
        <v>2</v>
      </c>
      <c r="J15" s="6"/>
      <c r="K15" s="6"/>
      <c r="L15" s="6"/>
      <c r="M15" s="6"/>
      <c r="O15" t="s">
        <v>109</v>
      </c>
      <c r="P15" s="9"/>
      <c r="Q15" s="4" t="s">
        <v>118</v>
      </c>
      <c r="R15" s="9" t="s">
        <v>35</v>
      </c>
      <c r="S15" s="9" t="s">
        <v>126</v>
      </c>
      <c r="T15">
        <v>1150</v>
      </c>
      <c r="V15" t="s">
        <v>93</v>
      </c>
      <c r="W15" t="s">
        <v>93</v>
      </c>
      <c r="X15" s="10"/>
      <c r="Y15" s="10"/>
      <c r="Z15" t="s">
        <v>134</v>
      </c>
      <c r="AA15" t="s">
        <v>134</v>
      </c>
      <c r="AB15" t="s">
        <v>134</v>
      </c>
    </row>
    <row r="16" spans="1:28" ht="14.4" x14ac:dyDescent="0.3">
      <c r="A16" s="6">
        <v>5</v>
      </c>
      <c r="B16" s="6" t="s">
        <v>99</v>
      </c>
      <c r="C16" s="6" t="s">
        <v>103</v>
      </c>
      <c r="D16" s="6" t="s">
        <v>55</v>
      </c>
      <c r="E16" s="6">
        <v>6</v>
      </c>
      <c r="F16" s="6">
        <v>2000</v>
      </c>
      <c r="G16" s="6">
        <v>9333</v>
      </c>
      <c r="H16" s="6" t="s">
        <v>110</v>
      </c>
      <c r="I16" s="6"/>
      <c r="J16" s="6"/>
      <c r="K16" s="6"/>
      <c r="L16" s="6"/>
      <c r="M16" s="6"/>
      <c r="O16" t="s">
        <v>110</v>
      </c>
      <c r="P16" s="9"/>
      <c r="Q16" s="9"/>
      <c r="R16" s="9" t="s">
        <v>35</v>
      </c>
      <c r="S16" s="9" t="s">
        <v>126</v>
      </c>
      <c r="T16">
        <v>0</v>
      </c>
      <c r="V16" t="s">
        <v>55</v>
      </c>
      <c r="W16" t="s">
        <v>55</v>
      </c>
      <c r="X16" s="10"/>
      <c r="Y16" t="s">
        <v>134</v>
      </c>
      <c r="Z16" t="s">
        <v>134</v>
      </c>
      <c r="AA16" t="s">
        <v>134</v>
      </c>
      <c r="AB16" t="s">
        <v>134</v>
      </c>
    </row>
    <row r="17" spans="1:28" ht="14.4" x14ac:dyDescent="0.3">
      <c r="P17" s="9"/>
      <c r="Q17" s="9"/>
      <c r="R17" s="9"/>
      <c r="S17" s="4"/>
      <c r="V17" s="10"/>
      <c r="W17" s="10"/>
      <c r="X17" s="10"/>
      <c r="Y17" s="10"/>
      <c r="Z17" s="10"/>
      <c r="AA17" s="10"/>
      <c r="AB17" s="10"/>
    </row>
    <row r="18" spans="1:28" ht="14.4" x14ac:dyDescent="0.3">
      <c r="A18" s="6">
        <v>6</v>
      </c>
      <c r="B18" s="6" t="s">
        <v>100</v>
      </c>
      <c r="C18" s="6" t="s">
        <v>103</v>
      </c>
      <c r="D18" s="6" t="s">
        <v>105</v>
      </c>
      <c r="E18" s="6">
        <v>10</v>
      </c>
      <c r="F18" s="6">
        <v>1200</v>
      </c>
      <c r="G18" s="6">
        <v>7.56</v>
      </c>
      <c r="H18" s="6" t="s">
        <v>108</v>
      </c>
      <c r="I18" s="6"/>
      <c r="J18" s="6"/>
      <c r="K18" s="21">
        <v>6</v>
      </c>
      <c r="L18" s="6"/>
      <c r="M18" s="6"/>
      <c r="O18" t="s">
        <v>124</v>
      </c>
      <c r="P18" s="4" t="s">
        <v>125</v>
      </c>
      <c r="Q18" s="9"/>
      <c r="R18" s="4" t="s">
        <v>113</v>
      </c>
      <c r="S18" s="9" t="s">
        <v>126</v>
      </c>
      <c r="T18">
        <v>1200</v>
      </c>
      <c r="V18" t="s">
        <v>105</v>
      </c>
      <c r="W18" t="s">
        <v>105</v>
      </c>
      <c r="X18" s="10"/>
      <c r="Y18" t="s">
        <v>134</v>
      </c>
      <c r="Z18" t="s">
        <v>134</v>
      </c>
      <c r="AA18" t="s">
        <v>134</v>
      </c>
      <c r="AB18" t="s">
        <v>134</v>
      </c>
    </row>
    <row r="19" spans="1:28" ht="14.4" x14ac:dyDescent="0.3">
      <c r="A19" s="6">
        <v>7</v>
      </c>
      <c r="B19" s="6" t="s">
        <v>101</v>
      </c>
      <c r="C19" s="6" t="s">
        <v>103</v>
      </c>
      <c r="D19" s="6" t="s">
        <v>105</v>
      </c>
      <c r="E19" s="6">
        <v>27</v>
      </c>
      <c r="F19" s="6">
        <v>7800</v>
      </c>
      <c r="G19" s="6">
        <v>10</v>
      </c>
      <c r="H19" s="6" t="s">
        <v>111</v>
      </c>
      <c r="I19" s="6"/>
      <c r="J19" s="6"/>
      <c r="K19" s="22"/>
      <c r="L19" s="6"/>
      <c r="M19" s="6"/>
      <c r="O19" t="s">
        <v>111</v>
      </c>
      <c r="P19" s="9"/>
      <c r="Q19" s="9"/>
      <c r="R19" s="9" t="s">
        <v>35</v>
      </c>
      <c r="S19" s="9" t="s">
        <v>126</v>
      </c>
      <c r="T19">
        <v>7800</v>
      </c>
      <c r="V19" t="s">
        <v>105</v>
      </c>
      <c r="W19" t="s">
        <v>105</v>
      </c>
      <c r="X19" s="10"/>
      <c r="Y19" s="10"/>
      <c r="Z19" t="s">
        <v>134</v>
      </c>
      <c r="AA19" t="s">
        <v>134</v>
      </c>
      <c r="AB19" t="s">
        <v>134</v>
      </c>
    </row>
    <row r="20" spans="1:28" ht="14.4" x14ac:dyDescent="0.3">
      <c r="A20" s="6">
        <v>8</v>
      </c>
      <c r="B20" s="6" t="s">
        <v>102</v>
      </c>
      <c r="C20" s="6" t="s">
        <v>103</v>
      </c>
      <c r="D20" s="6" t="s">
        <v>106</v>
      </c>
      <c r="E20" s="6">
        <v>4</v>
      </c>
      <c r="F20" s="6">
        <v>1922</v>
      </c>
      <c r="G20" s="6">
        <v>32.4</v>
      </c>
      <c r="H20" s="6" t="s">
        <v>112</v>
      </c>
      <c r="I20" s="6"/>
      <c r="J20" s="6">
        <v>8</v>
      </c>
      <c r="K20" s="6"/>
      <c r="L20" s="6"/>
      <c r="M20" s="6"/>
      <c r="O20" t="s">
        <v>115</v>
      </c>
      <c r="P20" s="9"/>
      <c r="Q20" s="9"/>
      <c r="R20" s="9" t="s">
        <v>35</v>
      </c>
      <c r="S20" s="9" t="s">
        <v>126</v>
      </c>
      <c r="T20">
        <v>480.5</v>
      </c>
      <c r="V20" s="10"/>
      <c r="W20" s="10"/>
      <c r="X20" s="10"/>
      <c r="Y20" s="10"/>
      <c r="Z20" t="s">
        <v>134</v>
      </c>
      <c r="AA20" t="s">
        <v>134</v>
      </c>
      <c r="AB20" t="s">
        <v>134</v>
      </c>
    </row>
    <row r="22" spans="1:28" ht="14.4" x14ac:dyDescent="0.3">
      <c r="B22" s="2" t="s">
        <v>31</v>
      </c>
      <c r="C22" s="2"/>
      <c r="D22" s="2"/>
      <c r="E22" s="2"/>
      <c r="F22" s="2"/>
      <c r="G22" s="2"/>
      <c r="H22" s="2"/>
      <c r="I22" s="2">
        <v>10</v>
      </c>
      <c r="J22" s="2">
        <v>5</v>
      </c>
      <c r="K22" s="2">
        <v>6</v>
      </c>
      <c r="L22" s="2"/>
      <c r="M22" s="2"/>
      <c r="O22" s="9" t="s">
        <v>135</v>
      </c>
      <c r="T22">
        <v>2165</v>
      </c>
    </row>
    <row r="23" spans="1:28" x14ac:dyDescent="0.25">
      <c r="S23" t="s">
        <v>32</v>
      </c>
      <c r="T23">
        <v>17670.5</v>
      </c>
    </row>
  </sheetData>
  <mergeCells count="4">
    <mergeCell ref="I12:I13"/>
    <mergeCell ref="K18:K19"/>
    <mergeCell ref="J11:J13"/>
    <mergeCell ref="P9:Q9"/>
  </mergeCells>
  <conditionalFormatting sqref="V11:AB20">
    <cfRule type="expression" dxfId="1" priority="1" stopIfTrue="1">
      <formula>V11="OK"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PAX">
                <anchor>
                  <from>
                    <xdr:col>14</xdr:col>
                    <xdr:colOff>1653540</xdr:colOff>
                    <xdr:row>2</xdr:row>
                    <xdr:rowOff>121920</xdr:rowOff>
                  </from>
                  <to>
                    <xdr:col>15</xdr:col>
                    <xdr:colOff>396240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_xludf.Clear">
                <anchor>
                  <from>
                    <xdr:col>14</xdr:col>
                    <xdr:colOff>152400</xdr:colOff>
                    <xdr:row>2</xdr:row>
                    <xdr:rowOff>137160</xdr:rowOff>
                  </from>
                  <to>
                    <xdr:col>14</xdr:col>
                    <xdr:colOff>1409700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_xludf.Save">
                <anchor>
                  <from>
                    <xdr:col>16</xdr:col>
                    <xdr:colOff>419100</xdr:colOff>
                    <xdr:row>2</xdr:row>
                    <xdr:rowOff>106680</xdr:rowOff>
                  </from>
                  <to>
                    <xdr:col>17</xdr:col>
                    <xdr:colOff>838200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B8A66-D830-4351-A47C-3C4F6B0364CE}">
  <sheetPr codeName="G02FRT">
    <tabColor theme="9"/>
  </sheetPr>
  <dimension ref="A11:AA25"/>
  <sheetViews>
    <sheetView zoomScale="80" zoomScaleNormal="80" workbookViewId="0">
      <selection activeCell="N28" sqref="N28"/>
    </sheetView>
  </sheetViews>
  <sheetFormatPr defaultRowHeight="13.8" x14ac:dyDescent="0.25"/>
  <cols>
    <col min="1" max="1" width="2.09765625" bestFit="1" customWidth="1"/>
    <col min="8" max="8" width="13.8984375" bestFit="1" customWidth="1"/>
    <col min="11" max="11" width="5.5" bestFit="1" customWidth="1"/>
    <col min="12" max="12" width="7.3984375" bestFit="1" customWidth="1"/>
    <col min="13" max="13" width="5.5" bestFit="1" customWidth="1"/>
    <col min="14" max="14" width="42.59765625" bestFit="1" customWidth="1"/>
    <col min="15" max="15" width="5.5" bestFit="1" customWidth="1"/>
    <col min="16" max="16" width="9.59765625" bestFit="1" customWidth="1"/>
    <col min="17" max="17" width="13.8984375" bestFit="1" customWidth="1"/>
    <col min="18" max="18" width="17" bestFit="1" customWidth="1"/>
    <col min="19" max="19" width="7.8984375" bestFit="1" customWidth="1"/>
    <col min="21" max="21" width="6" bestFit="1" customWidth="1"/>
    <col min="22" max="22" width="11.3984375" bestFit="1" customWidth="1"/>
    <col min="23" max="23" width="3.69921875" bestFit="1" customWidth="1"/>
    <col min="24" max="24" width="10.8984375" bestFit="1" customWidth="1"/>
    <col min="25" max="25" width="5" bestFit="1" customWidth="1"/>
    <col min="26" max="26" width="4.5" bestFit="1" customWidth="1"/>
    <col min="27" max="27" width="4.8984375" bestFit="1" customWidth="1"/>
  </cols>
  <sheetData>
    <row r="11" spans="1:27" x14ac:dyDescent="0.25">
      <c r="N11" s="8" t="s">
        <v>49</v>
      </c>
      <c r="O11" s="17" t="s">
        <v>50</v>
      </c>
      <c r="P11" s="17"/>
      <c r="Q11" s="8"/>
      <c r="R11" s="8"/>
      <c r="S11" s="8"/>
      <c r="T11" s="8"/>
      <c r="U11" s="8"/>
      <c r="V11" s="8"/>
      <c r="W11" s="8"/>
      <c r="X11" s="8"/>
      <c r="Y11" s="8"/>
      <c r="Z11" s="8"/>
      <c r="AA11" s="8"/>
    </row>
    <row r="12" spans="1:27" x14ac:dyDescent="0.25">
      <c r="A12" s="6" t="s">
        <v>4</v>
      </c>
      <c r="B12" s="6" t="s">
        <v>5</v>
      </c>
      <c r="C12" s="6" t="s">
        <v>6</v>
      </c>
      <c r="D12" s="6" t="s">
        <v>7</v>
      </c>
      <c r="E12" s="6" t="s">
        <v>8</v>
      </c>
      <c r="F12" s="6" t="s">
        <v>9</v>
      </c>
      <c r="G12" s="6" t="s">
        <v>10</v>
      </c>
      <c r="H12" s="7" t="s">
        <v>11</v>
      </c>
      <c r="I12" s="6" t="s">
        <v>12</v>
      </c>
      <c r="J12" s="6" t="s">
        <v>13</v>
      </c>
      <c r="K12" s="6" t="s">
        <v>14</v>
      </c>
      <c r="L12" s="6" t="s">
        <v>15</v>
      </c>
      <c r="N12" s="8" t="s">
        <v>53</v>
      </c>
      <c r="O12" s="8" t="s">
        <v>3</v>
      </c>
      <c r="P12" s="8" t="s">
        <v>49</v>
      </c>
      <c r="Q12" s="8" t="s">
        <v>16</v>
      </c>
      <c r="R12" s="8" t="s">
        <v>90</v>
      </c>
      <c r="S12" s="8" t="s">
        <v>127</v>
      </c>
      <c r="T12" s="8"/>
      <c r="U12" s="8" t="s">
        <v>128</v>
      </c>
      <c r="V12" s="8" t="s">
        <v>129</v>
      </c>
      <c r="W12" s="8" t="s">
        <v>0</v>
      </c>
      <c r="X12" s="8" t="s">
        <v>130</v>
      </c>
      <c r="Y12" s="8" t="s">
        <v>131</v>
      </c>
      <c r="Z12" s="8" t="s">
        <v>132</v>
      </c>
      <c r="AA12" s="8" t="s">
        <v>133</v>
      </c>
    </row>
    <row r="13" spans="1:27" ht="14.4" x14ac:dyDescent="0.3">
      <c r="A13" s="6">
        <v>1</v>
      </c>
      <c r="B13" s="6" t="s">
        <v>95</v>
      </c>
      <c r="C13" s="6" t="s">
        <v>103</v>
      </c>
      <c r="D13" s="6" t="s">
        <v>55</v>
      </c>
      <c r="E13" s="6">
        <v>8</v>
      </c>
      <c r="F13" s="6">
        <v>2000</v>
      </c>
      <c r="G13" s="6">
        <v>9216</v>
      </c>
      <c r="H13" s="6" t="s">
        <v>114</v>
      </c>
      <c r="I13" s="18">
        <v>1</v>
      </c>
      <c r="J13" s="6"/>
      <c r="K13" s="6"/>
      <c r="L13" s="6"/>
      <c r="N13" t="s">
        <v>122</v>
      </c>
      <c r="O13" s="4" t="s">
        <v>119</v>
      </c>
      <c r="P13" s="4" t="s">
        <v>123</v>
      </c>
      <c r="Q13" s="9" t="s">
        <v>35</v>
      </c>
      <c r="R13" s="9" t="s">
        <v>126</v>
      </c>
      <c r="S13">
        <v>2000</v>
      </c>
      <c r="U13" t="s">
        <v>55</v>
      </c>
      <c r="V13" t="s">
        <v>55</v>
      </c>
      <c r="W13" t="s">
        <v>134</v>
      </c>
      <c r="X13" s="10"/>
      <c r="Y13" t="s">
        <v>134</v>
      </c>
      <c r="Z13" t="s">
        <v>134</v>
      </c>
      <c r="AA13" t="s">
        <v>134</v>
      </c>
    </row>
    <row r="14" spans="1:27" ht="14.4" x14ac:dyDescent="0.3">
      <c r="A14" s="6">
        <v>2</v>
      </c>
      <c r="B14" s="6" t="s">
        <v>96</v>
      </c>
      <c r="C14" s="6" t="s">
        <v>103</v>
      </c>
      <c r="D14" s="6" t="s">
        <v>104</v>
      </c>
      <c r="E14" s="6">
        <v>6</v>
      </c>
      <c r="F14" s="6">
        <v>1750</v>
      </c>
      <c r="G14" s="6">
        <v>10000</v>
      </c>
      <c r="H14" s="6" t="s">
        <v>107</v>
      </c>
      <c r="I14" s="19"/>
      <c r="J14" s="21">
        <v>6</v>
      </c>
      <c r="K14" s="6"/>
      <c r="L14" s="6"/>
      <c r="N14" t="s">
        <v>116</v>
      </c>
      <c r="O14" s="4" t="s">
        <v>121</v>
      </c>
      <c r="P14" s="9"/>
      <c r="Q14" s="9" t="s">
        <v>35</v>
      </c>
      <c r="R14" s="9" t="s">
        <v>126</v>
      </c>
      <c r="S14">
        <v>875</v>
      </c>
      <c r="U14" s="10"/>
      <c r="V14" s="10"/>
      <c r="W14" s="10"/>
      <c r="X14" t="s">
        <v>134</v>
      </c>
      <c r="Y14" t="s">
        <v>134</v>
      </c>
      <c r="Z14" t="s">
        <v>134</v>
      </c>
      <c r="AA14" t="s">
        <v>134</v>
      </c>
    </row>
    <row r="15" spans="1:27" ht="14.4" x14ac:dyDescent="0.3">
      <c r="A15" s="6">
        <v>3</v>
      </c>
      <c r="B15" s="6" t="s">
        <v>97</v>
      </c>
      <c r="C15" s="6" t="s">
        <v>103</v>
      </c>
      <c r="D15" s="6" t="s">
        <v>93</v>
      </c>
      <c r="E15" s="6">
        <v>8</v>
      </c>
      <c r="F15" s="6">
        <v>2000</v>
      </c>
      <c r="G15" s="6">
        <v>5673</v>
      </c>
      <c r="H15" s="6" t="s">
        <v>124</v>
      </c>
      <c r="I15" s="16"/>
      <c r="J15" s="22"/>
      <c r="K15" s="6"/>
      <c r="L15" s="6"/>
      <c r="N15" t="s">
        <v>108</v>
      </c>
      <c r="O15" s="9"/>
      <c r="P15" s="4" t="s">
        <v>125</v>
      </c>
      <c r="Q15" s="4" t="s">
        <v>113</v>
      </c>
      <c r="R15" s="9" t="s">
        <v>126</v>
      </c>
      <c r="S15">
        <v>2000</v>
      </c>
      <c r="U15" t="s">
        <v>93</v>
      </c>
      <c r="V15" t="s">
        <v>93</v>
      </c>
      <c r="W15" s="10"/>
      <c r="X15" t="s">
        <v>134</v>
      </c>
      <c r="Y15" t="s">
        <v>134</v>
      </c>
      <c r="Z15" t="s">
        <v>134</v>
      </c>
      <c r="AA15" t="s">
        <v>134</v>
      </c>
    </row>
    <row r="16" spans="1:27" ht="14.4" x14ac:dyDescent="0.3">
      <c r="O16" s="9"/>
      <c r="P16" s="9"/>
      <c r="Q16" s="9"/>
      <c r="R16" s="4"/>
      <c r="U16" s="10"/>
      <c r="V16" s="10"/>
      <c r="W16" s="10"/>
      <c r="X16" s="10"/>
      <c r="Y16" s="10"/>
      <c r="Z16" s="10"/>
      <c r="AA16" s="10"/>
    </row>
    <row r="17" spans="1:27" ht="14.4" x14ac:dyDescent="0.3">
      <c r="A17" s="6">
        <v>4</v>
      </c>
      <c r="B17" s="6" t="s">
        <v>98</v>
      </c>
      <c r="C17" s="6" t="s">
        <v>103</v>
      </c>
      <c r="D17" s="6" t="s">
        <v>93</v>
      </c>
      <c r="E17" s="6">
        <v>6</v>
      </c>
      <c r="F17" s="6">
        <v>1150</v>
      </c>
      <c r="G17" s="6">
        <v>9333</v>
      </c>
      <c r="H17" s="6" t="s">
        <v>120</v>
      </c>
      <c r="I17" s="6"/>
      <c r="J17" s="6">
        <v>2</v>
      </c>
      <c r="K17" s="6"/>
      <c r="L17" s="6"/>
      <c r="N17" t="s">
        <v>109</v>
      </c>
      <c r="O17" s="9"/>
      <c r="P17" s="4" t="s">
        <v>118</v>
      </c>
      <c r="Q17" s="9" t="s">
        <v>35</v>
      </c>
      <c r="R17" s="9" t="s">
        <v>126</v>
      </c>
      <c r="S17">
        <v>1150</v>
      </c>
      <c r="U17" t="s">
        <v>93</v>
      </c>
      <c r="V17" t="s">
        <v>93</v>
      </c>
      <c r="W17" s="10"/>
      <c r="X17" s="10"/>
      <c r="Y17" t="s">
        <v>134</v>
      </c>
      <c r="Z17" t="s">
        <v>134</v>
      </c>
      <c r="AA17" t="s">
        <v>134</v>
      </c>
    </row>
    <row r="18" spans="1:27" ht="14.4" x14ac:dyDescent="0.3">
      <c r="A18" s="6">
        <v>5</v>
      </c>
      <c r="B18" s="6" t="s">
        <v>99</v>
      </c>
      <c r="C18" s="6" t="s">
        <v>103</v>
      </c>
      <c r="D18" s="6" t="s">
        <v>55</v>
      </c>
      <c r="E18" s="6">
        <v>6</v>
      </c>
      <c r="F18" s="6">
        <v>2000</v>
      </c>
      <c r="G18" s="6">
        <v>9333</v>
      </c>
      <c r="H18" s="6" t="s">
        <v>110</v>
      </c>
      <c r="I18" s="6"/>
      <c r="J18" s="6">
        <v>5</v>
      </c>
      <c r="K18" s="6"/>
      <c r="L18" s="6"/>
      <c r="N18" t="s">
        <v>110</v>
      </c>
      <c r="O18" s="9"/>
      <c r="P18" s="9"/>
      <c r="Q18" s="9" t="s">
        <v>35</v>
      </c>
      <c r="R18" s="9" t="s">
        <v>126</v>
      </c>
      <c r="S18">
        <v>2000</v>
      </c>
      <c r="U18" t="s">
        <v>55</v>
      </c>
      <c r="V18" t="s">
        <v>55</v>
      </c>
      <c r="W18" s="10"/>
      <c r="X18" t="s">
        <v>134</v>
      </c>
      <c r="Y18" t="s">
        <v>134</v>
      </c>
      <c r="Z18" t="s">
        <v>134</v>
      </c>
      <c r="AA18" t="s">
        <v>134</v>
      </c>
    </row>
    <row r="19" spans="1:27" ht="14.4" x14ac:dyDescent="0.3">
      <c r="O19" s="9"/>
      <c r="P19" s="9"/>
      <c r="Q19" s="9"/>
      <c r="R19" s="4"/>
      <c r="U19" s="10"/>
      <c r="V19" s="10"/>
      <c r="W19" s="10"/>
      <c r="X19" s="10"/>
      <c r="Y19" s="10"/>
      <c r="Z19" s="10"/>
      <c r="AA19" s="10"/>
    </row>
    <row r="20" spans="1:27" ht="14.4" x14ac:dyDescent="0.3">
      <c r="A20" s="6">
        <v>6</v>
      </c>
      <c r="B20" s="6" t="s">
        <v>100</v>
      </c>
      <c r="C20" s="6" t="s">
        <v>103</v>
      </c>
      <c r="D20" s="6" t="s">
        <v>105</v>
      </c>
      <c r="E20" s="6">
        <v>10</v>
      </c>
      <c r="F20" s="6">
        <v>1200</v>
      </c>
      <c r="G20" s="6">
        <v>7.56</v>
      </c>
      <c r="H20" s="6" t="s">
        <v>108</v>
      </c>
      <c r="I20" s="6"/>
      <c r="J20" s="6">
        <v>6</v>
      </c>
      <c r="K20" s="6"/>
      <c r="L20" s="6"/>
      <c r="N20" t="s">
        <v>124</v>
      </c>
      <c r="O20" s="4" t="s">
        <v>125</v>
      </c>
      <c r="P20" s="9"/>
      <c r="Q20" s="4" t="s">
        <v>113</v>
      </c>
      <c r="R20" s="9" t="s">
        <v>126</v>
      </c>
      <c r="S20">
        <v>1200</v>
      </c>
      <c r="U20" t="s">
        <v>105</v>
      </c>
      <c r="V20" t="s">
        <v>105</v>
      </c>
      <c r="W20" s="10"/>
      <c r="X20" t="s">
        <v>134</v>
      </c>
      <c r="Y20" t="s">
        <v>134</v>
      </c>
      <c r="Z20" t="s">
        <v>134</v>
      </c>
      <c r="AA20" t="s">
        <v>134</v>
      </c>
    </row>
    <row r="21" spans="1:27" ht="14.4" x14ac:dyDescent="0.3">
      <c r="A21" s="6">
        <v>7</v>
      </c>
      <c r="B21" s="6" t="s">
        <v>101</v>
      </c>
      <c r="C21" s="6" t="s">
        <v>103</v>
      </c>
      <c r="D21" s="6" t="s">
        <v>105</v>
      </c>
      <c r="E21" s="6">
        <v>27</v>
      </c>
      <c r="F21" s="6">
        <v>7800</v>
      </c>
      <c r="G21" s="6">
        <v>10</v>
      </c>
      <c r="H21" s="6" t="s">
        <v>111</v>
      </c>
      <c r="I21" s="6"/>
      <c r="J21" s="6"/>
      <c r="K21" s="6"/>
      <c r="L21" s="6"/>
      <c r="N21" t="s">
        <v>111</v>
      </c>
      <c r="O21" s="9"/>
      <c r="P21" s="9"/>
      <c r="Q21" s="9" t="s">
        <v>35</v>
      </c>
      <c r="R21" s="9" t="s">
        <v>126</v>
      </c>
      <c r="S21">
        <v>0</v>
      </c>
      <c r="U21" t="s">
        <v>105</v>
      </c>
      <c r="V21" t="s">
        <v>105</v>
      </c>
      <c r="W21" s="10"/>
      <c r="X21" s="10"/>
      <c r="Y21" t="s">
        <v>134</v>
      </c>
      <c r="Z21" t="s">
        <v>134</v>
      </c>
      <c r="AA21" t="s">
        <v>134</v>
      </c>
    </row>
    <row r="22" spans="1:27" ht="14.4" x14ac:dyDescent="0.3">
      <c r="A22" s="6">
        <v>8</v>
      </c>
      <c r="B22" s="6" t="s">
        <v>102</v>
      </c>
      <c r="C22" s="6" t="s">
        <v>103</v>
      </c>
      <c r="D22" s="6" t="s">
        <v>106</v>
      </c>
      <c r="E22" s="6">
        <v>4</v>
      </c>
      <c r="F22" s="6">
        <v>1922</v>
      </c>
      <c r="G22" s="6">
        <v>32.4</v>
      </c>
      <c r="H22" s="6" t="s">
        <v>112</v>
      </c>
      <c r="I22" s="6">
        <v>8</v>
      </c>
      <c r="J22" s="6"/>
      <c r="K22" s="6"/>
      <c r="L22" s="6"/>
      <c r="N22" t="s">
        <v>115</v>
      </c>
      <c r="O22" s="9"/>
      <c r="P22" s="9"/>
      <c r="Q22" s="9" t="s">
        <v>35</v>
      </c>
      <c r="R22" s="9" t="s">
        <v>126</v>
      </c>
      <c r="S22">
        <v>480.5</v>
      </c>
      <c r="U22" s="10"/>
      <c r="V22" s="10"/>
      <c r="W22" s="10"/>
      <c r="X22" s="10"/>
      <c r="Y22" t="s">
        <v>134</v>
      </c>
      <c r="Z22" t="s">
        <v>134</v>
      </c>
      <c r="AA22" t="s">
        <v>134</v>
      </c>
    </row>
    <row r="24" spans="1:27" x14ac:dyDescent="0.25">
      <c r="B24" s="2" t="s">
        <v>31</v>
      </c>
      <c r="C24" s="2"/>
      <c r="D24" s="2"/>
      <c r="E24" s="2"/>
      <c r="F24" s="2"/>
      <c r="G24" s="2"/>
      <c r="H24" s="2"/>
      <c r="I24" s="2">
        <v>27</v>
      </c>
      <c r="J24" s="2">
        <v>10</v>
      </c>
      <c r="K24" s="2"/>
      <c r="L24" s="2"/>
      <c r="N24" s="4" t="s">
        <v>230</v>
      </c>
      <c r="S24">
        <v>4440</v>
      </c>
    </row>
    <row r="25" spans="1:27" x14ac:dyDescent="0.25">
      <c r="R25" t="s">
        <v>32</v>
      </c>
      <c r="S25">
        <v>14145.5</v>
      </c>
    </row>
  </sheetData>
  <mergeCells count="3">
    <mergeCell ref="O11:P11"/>
    <mergeCell ref="J14:J15"/>
    <mergeCell ref="I13:I14"/>
  </mergeCells>
  <conditionalFormatting sqref="U13:AA22">
    <cfRule type="expression" dxfId="0" priority="1" stopIfTrue="1">
      <formula>U13="OK"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_xludf.Clear">
                <anchor>
                  <from>
                    <xdr:col>13</xdr:col>
                    <xdr:colOff>1798320</xdr:colOff>
                    <xdr:row>2</xdr:row>
                    <xdr:rowOff>160020</xdr:rowOff>
                  </from>
                  <to>
                    <xdr:col>14</xdr:col>
                    <xdr:colOff>83820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FRT">
                <anchor>
                  <from>
                    <xdr:col>14</xdr:col>
                    <xdr:colOff>381000</xdr:colOff>
                    <xdr:row>2</xdr:row>
                    <xdr:rowOff>137160</xdr:rowOff>
                  </from>
                  <to>
                    <xdr:col>16</xdr:col>
                    <xdr:colOff>708660</xdr:colOff>
                    <xdr:row>7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_xludf.Save">
                <anchor>
                  <from>
                    <xdr:col>17</xdr:col>
                    <xdr:colOff>106680</xdr:colOff>
                    <xdr:row>2</xdr:row>
                    <xdr:rowOff>137160</xdr:rowOff>
                  </from>
                  <to>
                    <xdr:col>18</xdr:col>
                    <xdr:colOff>121920</xdr:colOff>
                    <xdr:row>7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5B294-1BBE-4AE1-BFD5-707DC35FC62D}">
  <sheetPr codeName="M01Sys1">
    <tabColor theme="5"/>
  </sheetPr>
  <dimension ref="B2:R9"/>
  <sheetViews>
    <sheetView zoomScale="90" zoomScaleNormal="90" workbookViewId="0">
      <selection activeCell="L16" sqref="L16"/>
    </sheetView>
  </sheetViews>
  <sheetFormatPr defaultRowHeight="13.8" x14ac:dyDescent="0.25"/>
  <cols>
    <col min="2" max="2" width="12.5" bestFit="1" customWidth="1"/>
    <col min="9" max="9" width="31" bestFit="1" customWidth="1"/>
  </cols>
  <sheetData>
    <row r="2" spans="2:18" x14ac:dyDescent="0.25">
      <c r="B2" t="s">
        <v>95</v>
      </c>
      <c r="I2" t="s">
        <v>122</v>
      </c>
      <c r="J2">
        <v>8</v>
      </c>
      <c r="K2">
        <v>2000</v>
      </c>
      <c r="R2" t="s">
        <v>117</v>
      </c>
    </row>
    <row r="3" spans="2:18" x14ac:dyDescent="0.25">
      <c r="B3" t="s">
        <v>96</v>
      </c>
      <c r="I3" t="s">
        <v>116</v>
      </c>
      <c r="J3">
        <v>6</v>
      </c>
      <c r="K3">
        <v>1750</v>
      </c>
      <c r="R3" t="s">
        <v>117</v>
      </c>
    </row>
    <row r="4" spans="2:18" x14ac:dyDescent="0.25">
      <c r="B4" t="s">
        <v>97</v>
      </c>
      <c r="I4" t="s">
        <v>108</v>
      </c>
      <c r="J4">
        <v>8</v>
      </c>
      <c r="K4">
        <v>2000</v>
      </c>
      <c r="R4" t="s">
        <v>117</v>
      </c>
    </row>
    <row r="5" spans="2:18" x14ac:dyDescent="0.25">
      <c r="B5" t="s">
        <v>98</v>
      </c>
      <c r="I5" t="s">
        <v>109</v>
      </c>
      <c r="J5">
        <v>6</v>
      </c>
      <c r="K5">
        <v>1150</v>
      </c>
      <c r="R5" t="s">
        <v>117</v>
      </c>
    </row>
    <row r="6" spans="2:18" x14ac:dyDescent="0.25">
      <c r="B6" t="s">
        <v>99</v>
      </c>
      <c r="I6" t="s">
        <v>110</v>
      </c>
      <c r="J6">
        <v>6</v>
      </c>
      <c r="K6">
        <v>2000</v>
      </c>
      <c r="R6" t="s">
        <v>117</v>
      </c>
    </row>
    <row r="7" spans="2:18" x14ac:dyDescent="0.25">
      <c r="B7" t="s">
        <v>100</v>
      </c>
      <c r="I7" t="s">
        <v>124</v>
      </c>
      <c r="J7">
        <v>10</v>
      </c>
      <c r="K7">
        <v>1200</v>
      </c>
      <c r="R7" t="s">
        <v>117</v>
      </c>
    </row>
    <row r="8" spans="2:18" x14ac:dyDescent="0.25">
      <c r="B8" t="s">
        <v>101</v>
      </c>
      <c r="I8" t="s">
        <v>111</v>
      </c>
      <c r="J8">
        <v>27</v>
      </c>
      <c r="K8">
        <v>7800</v>
      </c>
      <c r="R8" t="s">
        <v>117</v>
      </c>
    </row>
    <row r="9" spans="2:18" x14ac:dyDescent="0.25">
      <c r="B9" t="s">
        <v>102</v>
      </c>
      <c r="I9" t="s">
        <v>115</v>
      </c>
      <c r="J9">
        <v>4</v>
      </c>
      <c r="K9">
        <v>1922</v>
      </c>
      <c r="R9" t="s">
        <v>117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4ECB1-53CC-4D41-9974-B059FA5D04C6}">
  <sheetPr codeName="B02Cut">
    <tabColor theme="4"/>
  </sheetPr>
  <dimension ref="A1:C3"/>
  <sheetViews>
    <sheetView workbookViewId="0">
      <selection activeCell="C2" sqref="C2"/>
    </sheetView>
  </sheetViews>
  <sheetFormatPr defaultRowHeight="13.8" x14ac:dyDescent="0.25"/>
  <cols>
    <col min="1" max="3" width="12.5" bestFit="1" customWidth="1"/>
  </cols>
  <sheetData>
    <row r="1" spans="1:3" x14ac:dyDescent="0.25">
      <c r="A1" t="s">
        <v>77</v>
      </c>
      <c r="B1" t="s">
        <v>78</v>
      </c>
      <c r="C1" t="s">
        <v>229</v>
      </c>
    </row>
    <row r="2" spans="1:3" x14ac:dyDescent="0.25">
      <c r="A2" t="s">
        <v>95</v>
      </c>
      <c r="B2" t="s">
        <v>100</v>
      </c>
      <c r="C2" t="s">
        <v>97</v>
      </c>
    </row>
    <row r="3" spans="1:3" x14ac:dyDescent="0.25">
      <c r="A3" t="s">
        <v>98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CB8E4-6B9A-4A4D-B4CD-965CA4849131}">
  <sheetPr codeName="G03AWB">
    <tabColor theme="9"/>
  </sheetPr>
  <dimension ref="A1:W10"/>
  <sheetViews>
    <sheetView tabSelected="1" zoomScale="80" zoomScaleNormal="80" workbookViewId="0">
      <selection activeCell="P13" sqref="P13"/>
    </sheetView>
  </sheetViews>
  <sheetFormatPr defaultRowHeight="13.8" x14ac:dyDescent="0.25"/>
  <cols>
    <col min="2" max="2" width="12.5" bestFit="1" customWidth="1"/>
    <col min="9" max="9" width="16" bestFit="1" customWidth="1"/>
    <col min="13" max="13" width="12.5" bestFit="1" customWidth="1"/>
    <col min="15" max="15" width="8.59765625" bestFit="1" customWidth="1"/>
    <col min="16" max="16" width="11.09765625" bestFit="1" customWidth="1"/>
    <col min="17" max="17" width="11" bestFit="1" customWidth="1"/>
    <col min="18" max="18" width="13.59765625" bestFit="1" customWidth="1"/>
    <col min="19" max="19" width="13.19921875" bestFit="1" customWidth="1"/>
    <col min="21" max="21" width="31.09765625" bestFit="1" customWidth="1"/>
    <col min="22" max="22" width="5.5" bestFit="1" customWidth="1"/>
    <col min="23" max="23" width="9.59765625" bestFit="1" customWidth="1"/>
  </cols>
  <sheetData>
    <row r="1" spans="1:23" x14ac:dyDescent="0.25">
      <c r="B1" s="28"/>
      <c r="C1" s="28"/>
      <c r="M1" t="s">
        <v>147</v>
      </c>
      <c r="U1" t="s">
        <v>49</v>
      </c>
      <c r="V1" s="23" t="s">
        <v>50</v>
      </c>
      <c r="W1" s="23"/>
    </row>
    <row r="2" spans="1:23" x14ac:dyDescent="0.25">
      <c r="A2" t="s">
        <v>37</v>
      </c>
      <c r="B2" t="s">
        <v>38</v>
      </c>
      <c r="C2" t="s">
        <v>39</v>
      </c>
      <c r="D2" t="s">
        <v>40</v>
      </c>
      <c r="E2" t="s">
        <v>41</v>
      </c>
      <c r="F2" t="s">
        <v>42</v>
      </c>
      <c r="G2" t="s">
        <v>43</v>
      </c>
      <c r="H2" t="s">
        <v>44</v>
      </c>
      <c r="I2" t="s">
        <v>45</v>
      </c>
      <c r="M2" t="s">
        <v>48</v>
      </c>
      <c r="O2" t="s">
        <v>46</v>
      </c>
      <c r="P2" t="s">
        <v>149</v>
      </c>
      <c r="Q2" t="s">
        <v>47</v>
      </c>
      <c r="R2" t="s">
        <v>150</v>
      </c>
      <c r="U2" t="s">
        <v>53</v>
      </c>
      <c r="V2" t="s">
        <v>148</v>
      </c>
      <c r="W2" t="s">
        <v>49</v>
      </c>
    </row>
    <row r="3" spans="1:23" x14ac:dyDescent="0.25">
      <c r="A3">
        <v>1</v>
      </c>
      <c r="B3" s="13" t="s">
        <v>95</v>
      </c>
      <c r="C3" t="s">
        <v>103</v>
      </c>
      <c r="D3" t="s">
        <v>55</v>
      </c>
      <c r="E3">
        <v>8</v>
      </c>
      <c r="F3" t="s">
        <v>137</v>
      </c>
      <c r="G3">
        <v>8</v>
      </c>
      <c r="H3">
        <v>2000</v>
      </c>
      <c r="I3" t="s">
        <v>114</v>
      </c>
      <c r="J3" t="s">
        <v>138</v>
      </c>
      <c r="K3" t="s">
        <v>139</v>
      </c>
      <c r="M3" s="4" t="s">
        <v>102</v>
      </c>
      <c r="O3" s="14">
        <v>8</v>
      </c>
      <c r="P3">
        <v>2000</v>
      </c>
      <c r="Q3">
        <v>8</v>
      </c>
      <c r="R3">
        <v>2000</v>
      </c>
      <c r="S3" s="4" t="s">
        <v>52</v>
      </c>
      <c r="U3" t="s">
        <v>122</v>
      </c>
      <c r="V3" s="4" t="s">
        <v>119</v>
      </c>
      <c r="W3" s="4" t="s">
        <v>123</v>
      </c>
    </row>
    <row r="4" spans="1:23" ht="14.4" x14ac:dyDescent="0.3">
      <c r="A4">
        <v>2</v>
      </c>
      <c r="B4" t="s">
        <v>96</v>
      </c>
      <c r="C4" t="s">
        <v>103</v>
      </c>
      <c r="D4" t="s">
        <v>104</v>
      </c>
      <c r="E4">
        <v>6</v>
      </c>
      <c r="F4" t="s">
        <v>137</v>
      </c>
      <c r="G4">
        <v>6</v>
      </c>
      <c r="H4">
        <v>1750</v>
      </c>
      <c r="I4" t="s">
        <v>107</v>
      </c>
      <c r="J4" t="s">
        <v>138</v>
      </c>
      <c r="K4" t="s">
        <v>139</v>
      </c>
      <c r="O4" s="14">
        <v>6</v>
      </c>
      <c r="P4">
        <v>1750</v>
      </c>
      <c r="Q4">
        <v>6</v>
      </c>
      <c r="R4">
        <v>1750</v>
      </c>
      <c r="S4" s="9" t="s">
        <v>51</v>
      </c>
      <c r="U4" t="s">
        <v>116</v>
      </c>
      <c r="V4" s="4" t="s">
        <v>121</v>
      </c>
      <c r="W4" s="9" t="s">
        <v>51</v>
      </c>
    </row>
    <row r="5" spans="1:23" ht="14.4" x14ac:dyDescent="0.3">
      <c r="A5">
        <v>3</v>
      </c>
      <c r="C5" t="s">
        <v>103</v>
      </c>
      <c r="D5" t="s">
        <v>93</v>
      </c>
      <c r="E5">
        <v>8</v>
      </c>
      <c r="F5" t="s">
        <v>137</v>
      </c>
      <c r="G5">
        <v>8</v>
      </c>
      <c r="H5">
        <v>2000</v>
      </c>
      <c r="I5" t="s">
        <v>124</v>
      </c>
      <c r="J5" t="s">
        <v>138</v>
      </c>
      <c r="K5" t="s">
        <v>139</v>
      </c>
      <c r="O5" s="3"/>
      <c r="P5" s="3"/>
      <c r="Q5" s="3"/>
      <c r="R5" s="3"/>
      <c r="S5" s="4" t="s">
        <v>52</v>
      </c>
      <c r="V5" s="9" t="s">
        <v>51</v>
      </c>
      <c r="W5" s="4" t="s">
        <v>125</v>
      </c>
    </row>
    <row r="6" spans="1:23" ht="14.4" x14ac:dyDescent="0.3">
      <c r="A6">
        <v>4</v>
      </c>
      <c r="C6" t="s">
        <v>103</v>
      </c>
      <c r="D6" t="s">
        <v>93</v>
      </c>
      <c r="E6">
        <v>6</v>
      </c>
      <c r="F6" t="s">
        <v>137</v>
      </c>
      <c r="G6">
        <v>6</v>
      </c>
      <c r="H6">
        <v>1150</v>
      </c>
      <c r="I6" t="s">
        <v>120</v>
      </c>
      <c r="J6" t="s">
        <v>138</v>
      </c>
      <c r="K6" t="s">
        <v>139</v>
      </c>
      <c r="O6" s="3"/>
      <c r="P6" s="3"/>
      <c r="Q6" s="3"/>
      <c r="R6" s="3"/>
      <c r="S6" s="4" t="s">
        <v>52</v>
      </c>
      <c r="V6" s="9" t="s">
        <v>51</v>
      </c>
      <c r="W6" s="4" t="s">
        <v>226</v>
      </c>
    </row>
    <row r="7" spans="1:23" ht="14.4" x14ac:dyDescent="0.3">
      <c r="A7">
        <v>5</v>
      </c>
      <c r="B7" t="s">
        <v>99</v>
      </c>
      <c r="C7" t="s">
        <v>103</v>
      </c>
      <c r="D7" t="s">
        <v>55</v>
      </c>
      <c r="E7">
        <v>6</v>
      </c>
      <c r="F7" t="s">
        <v>137</v>
      </c>
      <c r="G7">
        <v>6</v>
      </c>
      <c r="H7">
        <v>2000</v>
      </c>
      <c r="I7" t="s">
        <v>110</v>
      </c>
      <c r="J7" t="s">
        <v>138</v>
      </c>
      <c r="K7" t="s">
        <v>139</v>
      </c>
      <c r="O7" s="14">
        <v>6</v>
      </c>
      <c r="P7">
        <v>2000</v>
      </c>
      <c r="Q7">
        <v>6</v>
      </c>
      <c r="R7">
        <v>2000</v>
      </c>
      <c r="S7" s="9" t="s">
        <v>51</v>
      </c>
      <c r="U7" t="s">
        <v>110</v>
      </c>
      <c r="V7" s="9" t="s">
        <v>51</v>
      </c>
      <c r="W7" s="9" t="s">
        <v>51</v>
      </c>
    </row>
    <row r="8" spans="1:23" ht="14.4" x14ac:dyDescent="0.3">
      <c r="A8">
        <v>6</v>
      </c>
      <c r="B8" s="11" t="s">
        <v>100</v>
      </c>
      <c r="C8" t="s">
        <v>103</v>
      </c>
      <c r="D8" t="s">
        <v>105</v>
      </c>
      <c r="E8">
        <v>10</v>
      </c>
      <c r="F8" t="s">
        <v>137</v>
      </c>
      <c r="G8">
        <v>10</v>
      </c>
      <c r="H8">
        <v>1200</v>
      </c>
      <c r="I8" t="s">
        <v>108</v>
      </c>
      <c r="J8" t="s">
        <v>138</v>
      </c>
      <c r="K8" t="s">
        <v>139</v>
      </c>
      <c r="O8" s="14">
        <v>10</v>
      </c>
      <c r="P8">
        <v>1200</v>
      </c>
      <c r="Q8">
        <v>10</v>
      </c>
      <c r="R8">
        <v>1200</v>
      </c>
      <c r="S8" s="4" t="s">
        <v>52</v>
      </c>
      <c r="U8" t="s">
        <v>124</v>
      </c>
      <c r="V8" s="4" t="s">
        <v>125</v>
      </c>
      <c r="W8" s="9" t="s">
        <v>51</v>
      </c>
    </row>
    <row r="9" spans="1:23" ht="14.4" x14ac:dyDescent="0.3">
      <c r="A9">
        <v>7</v>
      </c>
      <c r="B9" t="s">
        <v>101</v>
      </c>
      <c r="C9" t="s">
        <v>103</v>
      </c>
      <c r="D9" t="s">
        <v>105</v>
      </c>
      <c r="E9">
        <v>27</v>
      </c>
      <c r="F9" t="s">
        <v>137</v>
      </c>
      <c r="G9">
        <v>27</v>
      </c>
      <c r="H9">
        <v>7800</v>
      </c>
      <c r="I9" t="s">
        <v>111</v>
      </c>
      <c r="J9" t="s">
        <v>138</v>
      </c>
      <c r="K9" t="s">
        <v>139</v>
      </c>
      <c r="O9" s="14">
        <v>27</v>
      </c>
      <c r="P9">
        <v>7800</v>
      </c>
      <c r="Q9">
        <v>27</v>
      </c>
      <c r="R9">
        <v>7800</v>
      </c>
      <c r="S9" s="9" t="s">
        <v>51</v>
      </c>
      <c r="U9" t="s">
        <v>111</v>
      </c>
      <c r="V9" s="9" t="s">
        <v>51</v>
      </c>
      <c r="W9" s="9" t="s">
        <v>51</v>
      </c>
    </row>
    <row r="10" spans="1:23" ht="14.4" customHeight="1" x14ac:dyDescent="0.3">
      <c r="A10">
        <v>8</v>
      </c>
      <c r="C10" t="s">
        <v>103</v>
      </c>
      <c r="D10" t="s">
        <v>106</v>
      </c>
      <c r="E10">
        <v>4</v>
      </c>
      <c r="F10" t="s">
        <v>137</v>
      </c>
      <c r="G10">
        <v>4</v>
      </c>
      <c r="H10">
        <v>1922</v>
      </c>
      <c r="I10" t="s">
        <v>112</v>
      </c>
      <c r="J10" t="s">
        <v>138</v>
      </c>
      <c r="K10" t="s">
        <v>139</v>
      </c>
      <c r="O10" s="3"/>
      <c r="P10" s="3"/>
      <c r="Q10" s="3"/>
      <c r="R10" s="3"/>
      <c r="S10" s="4" t="s">
        <v>52</v>
      </c>
      <c r="V10" s="9" t="s">
        <v>51</v>
      </c>
      <c r="W10" s="4" t="s">
        <v>224</v>
      </c>
    </row>
  </sheetData>
  <mergeCells count="1">
    <mergeCell ref="V1:W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3" name="Button 2">
              <controlPr defaultSize="0" print="0" autoFill="0" autoPict="0" macro="[0]!_xludf.Clear">
                <anchor>
                  <from>
                    <xdr:col>11</xdr:col>
                    <xdr:colOff>45720</xdr:colOff>
                    <xdr:row>0</xdr:row>
                    <xdr:rowOff>114300</xdr:rowOff>
                  </from>
                  <to>
                    <xdr:col>11</xdr:col>
                    <xdr:colOff>601980</xdr:colOff>
                    <xdr:row>3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4" name="Button 3">
              <controlPr defaultSize="0" print="0" autoFill="0" autoPict="0" macro="[0]!AWB">
                <anchor>
                  <from>
                    <xdr:col>11</xdr:col>
                    <xdr:colOff>38100</xdr:colOff>
                    <xdr:row>4</xdr:row>
                    <xdr:rowOff>7620</xdr:rowOff>
                  </from>
                  <to>
                    <xdr:col>11</xdr:col>
                    <xdr:colOff>594360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_xludf.Save">
                <anchor>
                  <from>
                    <xdr:col>11</xdr:col>
                    <xdr:colOff>60960</xdr:colOff>
                    <xdr:row>7</xdr:row>
                    <xdr:rowOff>68580</xdr:rowOff>
                  </from>
                  <to>
                    <xdr:col>11</xdr:col>
                    <xdr:colOff>617220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19351-2247-45DD-BA72-120D4E3FA201}">
  <sheetPr codeName="M02Sys2">
    <tabColor theme="5"/>
  </sheetPr>
  <dimension ref="B1:R9"/>
  <sheetViews>
    <sheetView zoomScale="90" zoomScaleNormal="90" workbookViewId="0">
      <selection activeCell="H16" sqref="H16"/>
    </sheetView>
  </sheetViews>
  <sheetFormatPr defaultRowHeight="13.8" x14ac:dyDescent="0.25"/>
  <cols>
    <col min="5" max="6" width="8.796875" style="12"/>
    <col min="7" max="7" width="12.5" style="12" bestFit="1" customWidth="1"/>
  </cols>
  <sheetData>
    <row r="1" spans="2:18" x14ac:dyDescent="0.25">
      <c r="L1" s="24" t="s">
        <v>31</v>
      </c>
      <c r="M1" s="24"/>
      <c r="Q1" s="24" t="s">
        <v>146</v>
      </c>
      <c r="R1" s="24"/>
    </row>
    <row r="2" spans="2:18" x14ac:dyDescent="0.25">
      <c r="B2" t="s">
        <v>82</v>
      </c>
      <c r="C2" t="s">
        <v>140</v>
      </c>
      <c r="D2" t="s">
        <v>141</v>
      </c>
      <c r="E2" s="12">
        <v>157</v>
      </c>
      <c r="F2" s="12">
        <v>12345678</v>
      </c>
      <c r="G2" s="12" t="s">
        <v>95</v>
      </c>
      <c r="H2" t="s">
        <v>142</v>
      </c>
      <c r="I2">
        <v>9999</v>
      </c>
      <c r="J2" t="s">
        <v>143</v>
      </c>
      <c r="K2" t="s">
        <v>138</v>
      </c>
      <c r="L2">
        <v>8</v>
      </c>
      <c r="M2">
        <v>2000</v>
      </c>
      <c r="N2" t="s">
        <v>144</v>
      </c>
      <c r="O2" t="s">
        <v>103</v>
      </c>
      <c r="P2" t="s">
        <v>145</v>
      </c>
      <c r="Q2">
        <v>8</v>
      </c>
      <c r="R2">
        <v>2000</v>
      </c>
    </row>
    <row r="3" spans="2:18" x14ac:dyDescent="0.25">
      <c r="B3" t="s">
        <v>82</v>
      </c>
      <c r="C3" t="s">
        <v>140</v>
      </c>
      <c r="D3" t="s">
        <v>141</v>
      </c>
      <c r="E3" s="12">
        <v>749</v>
      </c>
      <c r="F3" s="12">
        <v>12345678</v>
      </c>
      <c r="G3" s="12" t="s">
        <v>96</v>
      </c>
      <c r="H3" t="s">
        <v>142</v>
      </c>
      <c r="I3">
        <v>9999</v>
      </c>
      <c r="J3" t="s">
        <v>143</v>
      </c>
      <c r="K3" t="s">
        <v>138</v>
      </c>
      <c r="L3">
        <v>6</v>
      </c>
      <c r="M3">
        <v>1750</v>
      </c>
      <c r="N3" t="s">
        <v>144</v>
      </c>
      <c r="O3" t="s">
        <v>103</v>
      </c>
      <c r="P3" t="s">
        <v>145</v>
      </c>
      <c r="Q3">
        <v>6</v>
      </c>
      <c r="R3">
        <v>1750</v>
      </c>
    </row>
    <row r="4" spans="2:18" x14ac:dyDescent="0.25">
      <c r="B4" t="s">
        <v>82</v>
      </c>
      <c r="C4" t="s">
        <v>140</v>
      </c>
      <c r="D4" t="s">
        <v>141</v>
      </c>
      <c r="E4" s="12">
        <v>367</v>
      </c>
      <c r="F4" s="12">
        <v>12345678</v>
      </c>
      <c r="G4" s="12" t="s">
        <v>97</v>
      </c>
      <c r="H4" t="s">
        <v>142</v>
      </c>
      <c r="I4">
        <v>9999</v>
      </c>
      <c r="J4" t="s">
        <v>143</v>
      </c>
      <c r="K4" t="s">
        <v>138</v>
      </c>
      <c r="L4">
        <v>8</v>
      </c>
      <c r="M4">
        <v>2000</v>
      </c>
      <c r="N4" t="s">
        <v>144</v>
      </c>
      <c r="O4" t="s">
        <v>103</v>
      </c>
      <c r="P4" t="s">
        <v>145</v>
      </c>
      <c r="Q4">
        <v>8</v>
      </c>
      <c r="R4">
        <v>2000</v>
      </c>
    </row>
    <row r="5" spans="2:18" x14ac:dyDescent="0.25">
      <c r="B5" t="s">
        <v>82</v>
      </c>
      <c r="C5" t="s">
        <v>140</v>
      </c>
      <c r="D5" t="s">
        <v>141</v>
      </c>
      <c r="E5" s="12">
        <v>157</v>
      </c>
      <c r="F5" s="12">
        <v>98765431</v>
      </c>
      <c r="G5" s="12" t="s">
        <v>98</v>
      </c>
      <c r="H5" t="s">
        <v>142</v>
      </c>
      <c r="I5">
        <v>9999</v>
      </c>
      <c r="J5" t="s">
        <v>143</v>
      </c>
      <c r="K5" t="s">
        <v>138</v>
      </c>
      <c r="L5">
        <v>6</v>
      </c>
      <c r="M5">
        <v>1150</v>
      </c>
      <c r="N5" t="s">
        <v>144</v>
      </c>
      <c r="O5" t="s">
        <v>103</v>
      </c>
      <c r="P5" t="s">
        <v>145</v>
      </c>
      <c r="Q5">
        <v>6</v>
      </c>
      <c r="R5">
        <v>1150</v>
      </c>
    </row>
    <row r="6" spans="2:18" x14ac:dyDescent="0.25">
      <c r="B6" t="s">
        <v>82</v>
      </c>
      <c r="C6" t="s">
        <v>140</v>
      </c>
      <c r="D6" t="s">
        <v>141</v>
      </c>
      <c r="E6" s="12">
        <v>749</v>
      </c>
      <c r="F6" s="12">
        <v>98765432</v>
      </c>
      <c r="G6" s="12" t="s">
        <v>99</v>
      </c>
      <c r="H6" t="s">
        <v>142</v>
      </c>
      <c r="I6">
        <v>9999</v>
      </c>
      <c r="J6" t="s">
        <v>143</v>
      </c>
      <c r="K6" t="s">
        <v>138</v>
      </c>
      <c r="L6">
        <v>6</v>
      </c>
      <c r="M6">
        <v>2000</v>
      </c>
      <c r="N6" t="s">
        <v>144</v>
      </c>
      <c r="O6" t="s">
        <v>103</v>
      </c>
      <c r="P6" t="s">
        <v>145</v>
      </c>
      <c r="Q6">
        <v>6</v>
      </c>
      <c r="R6">
        <v>2000</v>
      </c>
    </row>
    <row r="7" spans="2:18" x14ac:dyDescent="0.25">
      <c r="B7" t="s">
        <v>82</v>
      </c>
      <c r="C7" t="s">
        <v>140</v>
      </c>
      <c r="D7" t="s">
        <v>141</v>
      </c>
      <c r="E7" s="12">
        <v>367</v>
      </c>
      <c r="F7" s="12">
        <v>98765432</v>
      </c>
      <c r="G7" s="12" t="s">
        <v>100</v>
      </c>
      <c r="H7" t="s">
        <v>142</v>
      </c>
      <c r="I7">
        <v>9999</v>
      </c>
      <c r="J7" t="s">
        <v>143</v>
      </c>
      <c r="K7" t="s">
        <v>138</v>
      </c>
      <c r="L7">
        <v>10</v>
      </c>
      <c r="M7">
        <v>1200</v>
      </c>
      <c r="N7" t="s">
        <v>144</v>
      </c>
      <c r="O7" t="s">
        <v>103</v>
      </c>
      <c r="P7" t="s">
        <v>145</v>
      </c>
      <c r="Q7">
        <v>10</v>
      </c>
      <c r="R7">
        <v>1200</v>
      </c>
    </row>
    <row r="8" spans="2:18" x14ac:dyDescent="0.25">
      <c r="B8" t="s">
        <v>82</v>
      </c>
      <c r="C8" t="s">
        <v>140</v>
      </c>
      <c r="D8" t="s">
        <v>141</v>
      </c>
      <c r="E8" s="12">
        <v>157</v>
      </c>
      <c r="F8" s="12">
        <v>45637891</v>
      </c>
      <c r="G8" s="12" t="s">
        <v>101</v>
      </c>
      <c r="H8" t="s">
        <v>142</v>
      </c>
      <c r="I8">
        <v>9999</v>
      </c>
      <c r="J8" t="s">
        <v>143</v>
      </c>
      <c r="K8" t="s">
        <v>138</v>
      </c>
      <c r="L8">
        <v>27</v>
      </c>
      <c r="M8">
        <v>7800</v>
      </c>
      <c r="N8" t="s">
        <v>144</v>
      </c>
      <c r="O8" t="s">
        <v>103</v>
      </c>
      <c r="P8" t="s">
        <v>145</v>
      </c>
      <c r="Q8">
        <v>27</v>
      </c>
      <c r="R8">
        <v>7800</v>
      </c>
    </row>
    <row r="9" spans="2:18" x14ac:dyDescent="0.25">
      <c r="B9" t="s">
        <v>82</v>
      </c>
      <c r="C9" t="s">
        <v>140</v>
      </c>
      <c r="D9" t="s">
        <v>141</v>
      </c>
      <c r="E9" s="12">
        <v>157</v>
      </c>
      <c r="F9" s="12">
        <v>35798642</v>
      </c>
      <c r="G9" s="12" t="s">
        <v>102</v>
      </c>
      <c r="H9" t="s">
        <v>142</v>
      </c>
      <c r="I9">
        <v>9999</v>
      </c>
      <c r="J9" t="s">
        <v>143</v>
      </c>
      <c r="K9" t="s">
        <v>138</v>
      </c>
      <c r="L9">
        <v>4</v>
      </c>
      <c r="M9">
        <v>1922</v>
      </c>
      <c r="N9" t="s">
        <v>144</v>
      </c>
      <c r="O9" t="s">
        <v>103</v>
      </c>
      <c r="P9" t="s">
        <v>145</v>
      </c>
      <c r="Q9">
        <v>4</v>
      </c>
      <c r="R9">
        <v>1922</v>
      </c>
    </row>
  </sheetData>
  <mergeCells count="2">
    <mergeCell ref="L1:M1"/>
    <mergeCell ref="Q1:R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9A17A-63FA-455E-AC2C-6ADC163845B8}">
  <sheetPr codeName="G04UWS">
    <tabColor rgb="FF92D050"/>
  </sheetPr>
  <dimension ref="A3:V50"/>
  <sheetViews>
    <sheetView zoomScale="90" zoomScaleNormal="90" workbookViewId="0">
      <selection activeCell="S6" sqref="S6"/>
    </sheetView>
  </sheetViews>
  <sheetFormatPr defaultRowHeight="13.8" x14ac:dyDescent="0.25"/>
  <cols>
    <col min="11" max="11" width="11.69921875" bestFit="1" customWidth="1"/>
    <col min="14" max="14" width="25.3984375" bestFit="1" customWidth="1"/>
    <col min="15" max="15" width="32" bestFit="1" customWidth="1"/>
    <col min="17" max="17" width="12.59765625" bestFit="1" customWidth="1"/>
    <col min="18" max="18" width="20.296875" bestFit="1" customWidth="1"/>
    <col min="19" max="19" width="12.19921875" bestFit="1" customWidth="1"/>
    <col min="20" max="20" width="13.8984375" bestFit="1" customWidth="1"/>
    <col min="21" max="21" width="11.296875" bestFit="1" customWidth="1"/>
  </cols>
  <sheetData>
    <row r="3" spans="1:22" ht="14.4" x14ac:dyDescent="0.3">
      <c r="Q3" t="s">
        <v>12</v>
      </c>
      <c r="R3" s="4" t="s">
        <v>222</v>
      </c>
      <c r="S3" s="9" t="s">
        <v>221</v>
      </c>
      <c r="T3" s="4" t="s">
        <v>223</v>
      </c>
    </row>
    <row r="4" spans="1:22" ht="14.4" x14ac:dyDescent="0.3">
      <c r="Q4" t="s">
        <v>13</v>
      </c>
      <c r="R4" s="9" t="s">
        <v>164</v>
      </c>
    </row>
    <row r="8" spans="1:22" x14ac:dyDescent="0.25">
      <c r="A8" t="s">
        <v>56</v>
      </c>
      <c r="B8" t="s">
        <v>57</v>
      </c>
      <c r="C8" t="s">
        <v>58</v>
      </c>
      <c r="D8" t="s">
        <v>59</v>
      </c>
      <c r="E8" t="s">
        <v>60</v>
      </c>
      <c r="F8" t="s">
        <v>61</v>
      </c>
      <c r="G8" t="s">
        <v>62</v>
      </c>
      <c r="H8" t="s">
        <v>63</v>
      </c>
      <c r="I8" t="s">
        <v>64</v>
      </c>
      <c r="J8" t="s">
        <v>65</v>
      </c>
      <c r="K8" s="3" t="s">
        <v>66</v>
      </c>
      <c r="L8" t="s">
        <v>68</v>
      </c>
      <c r="M8" t="s">
        <v>67</v>
      </c>
      <c r="N8" t="s">
        <v>69</v>
      </c>
      <c r="O8" t="s">
        <v>70</v>
      </c>
      <c r="Q8" s="17" t="s">
        <v>76</v>
      </c>
      <c r="R8" s="17"/>
      <c r="S8" s="17"/>
      <c r="T8" s="17"/>
      <c r="U8" s="17"/>
      <c r="V8" s="17"/>
    </row>
    <row r="9" spans="1:22" x14ac:dyDescent="0.25">
      <c r="A9" s="25" t="s">
        <v>71</v>
      </c>
      <c r="B9" s="25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Q9" s="8" t="s">
        <v>156</v>
      </c>
      <c r="R9" s="8" t="s">
        <v>63</v>
      </c>
      <c r="S9" s="8" t="s">
        <v>75</v>
      </c>
      <c r="T9" s="8" t="s">
        <v>157</v>
      </c>
      <c r="U9" s="8" t="s">
        <v>158</v>
      </c>
      <c r="V9" s="8"/>
    </row>
    <row r="10" spans="1:22" x14ac:dyDescent="0.25">
      <c r="A10">
        <v>1</v>
      </c>
      <c r="B10" t="s">
        <v>151</v>
      </c>
      <c r="C10">
        <v>77849</v>
      </c>
      <c r="D10" t="s">
        <v>152</v>
      </c>
      <c r="E10" t="s">
        <v>103</v>
      </c>
      <c r="F10" t="s">
        <v>82</v>
      </c>
      <c r="G10">
        <v>79</v>
      </c>
      <c r="H10">
        <v>2401</v>
      </c>
      <c r="I10">
        <v>0</v>
      </c>
      <c r="J10" s="15">
        <v>1</v>
      </c>
      <c r="K10" t="s">
        <v>159</v>
      </c>
      <c r="L10" t="s">
        <v>153</v>
      </c>
      <c r="M10">
        <v>0</v>
      </c>
      <c r="N10" t="s">
        <v>154</v>
      </c>
      <c r="Q10" t="s">
        <v>165</v>
      </c>
      <c r="R10" s="3">
        <v>2358</v>
      </c>
      <c r="S10" s="14" t="s">
        <v>159</v>
      </c>
      <c r="T10" s="14" t="s">
        <v>154</v>
      </c>
      <c r="U10" s="14" t="s">
        <v>153</v>
      </c>
    </row>
    <row r="11" spans="1:22" x14ac:dyDescent="0.25">
      <c r="A11">
        <v>2</v>
      </c>
      <c r="B11" t="s">
        <v>151</v>
      </c>
      <c r="C11">
        <v>37381</v>
      </c>
      <c r="D11" t="s">
        <v>152</v>
      </c>
      <c r="E11" t="s">
        <v>103</v>
      </c>
      <c r="F11" t="s">
        <v>82</v>
      </c>
      <c r="G11">
        <v>149</v>
      </c>
      <c r="H11">
        <v>2382</v>
      </c>
      <c r="I11">
        <v>0</v>
      </c>
      <c r="J11" s="15">
        <v>1</v>
      </c>
      <c r="K11" t="s">
        <v>159</v>
      </c>
      <c r="L11" t="s">
        <v>153</v>
      </c>
      <c r="M11">
        <v>0</v>
      </c>
      <c r="N11" t="s">
        <v>154</v>
      </c>
      <c r="Q11" t="s">
        <v>166</v>
      </c>
      <c r="R11" s="14">
        <v>2382</v>
      </c>
      <c r="S11" s="14" t="s">
        <v>159</v>
      </c>
      <c r="T11" s="14" t="s">
        <v>154</v>
      </c>
      <c r="U11" s="14" t="s">
        <v>153</v>
      </c>
    </row>
    <row r="12" spans="1:22" x14ac:dyDescent="0.25">
      <c r="A12">
        <v>3</v>
      </c>
      <c r="B12" t="s">
        <v>151</v>
      </c>
      <c r="C12">
        <v>72090</v>
      </c>
      <c r="D12" t="s">
        <v>152</v>
      </c>
      <c r="E12" t="s">
        <v>103</v>
      </c>
      <c r="F12" t="s">
        <v>82</v>
      </c>
      <c r="G12">
        <v>105</v>
      </c>
      <c r="H12">
        <v>1218</v>
      </c>
      <c r="I12">
        <v>0</v>
      </c>
      <c r="J12" s="15">
        <v>1</v>
      </c>
      <c r="K12" t="s">
        <v>159</v>
      </c>
      <c r="L12" t="s">
        <v>153</v>
      </c>
      <c r="M12">
        <v>0</v>
      </c>
      <c r="N12" t="s">
        <v>154</v>
      </c>
      <c r="Q12" t="s">
        <v>167</v>
      </c>
      <c r="R12" s="14">
        <v>1218</v>
      </c>
      <c r="S12" s="14" t="s">
        <v>159</v>
      </c>
      <c r="T12" s="14" t="s">
        <v>154</v>
      </c>
      <c r="U12" s="14" t="s">
        <v>153</v>
      </c>
    </row>
    <row r="13" spans="1:22" x14ac:dyDescent="0.25">
      <c r="A13">
        <v>4</v>
      </c>
      <c r="B13" t="s">
        <v>151</v>
      </c>
      <c r="C13">
        <v>22821</v>
      </c>
      <c r="D13" t="s">
        <v>152</v>
      </c>
      <c r="E13" t="s">
        <v>103</v>
      </c>
      <c r="F13" t="s">
        <v>82</v>
      </c>
      <c r="G13">
        <v>38</v>
      </c>
      <c r="H13">
        <v>1620</v>
      </c>
      <c r="I13">
        <v>0</v>
      </c>
      <c r="J13" s="15">
        <v>1</v>
      </c>
      <c r="K13" t="s">
        <v>161</v>
      </c>
      <c r="L13" t="s">
        <v>153</v>
      </c>
      <c r="M13">
        <v>0</v>
      </c>
      <c r="N13" t="s">
        <v>154</v>
      </c>
      <c r="Q13" t="s">
        <v>168</v>
      </c>
      <c r="R13" s="14">
        <v>1620</v>
      </c>
      <c r="S13" s="14" t="s">
        <v>161</v>
      </c>
      <c r="T13" s="14" t="s">
        <v>154</v>
      </c>
      <c r="U13" s="14" t="s">
        <v>153</v>
      </c>
    </row>
    <row r="14" spans="1:22" x14ac:dyDescent="0.25">
      <c r="A14">
        <v>5</v>
      </c>
      <c r="B14" t="s">
        <v>151</v>
      </c>
      <c r="C14">
        <v>54261</v>
      </c>
      <c r="D14" t="s">
        <v>152</v>
      </c>
      <c r="E14" t="s">
        <v>103</v>
      </c>
      <c r="F14" t="s">
        <v>82</v>
      </c>
      <c r="G14">
        <v>48</v>
      </c>
      <c r="H14">
        <v>1303</v>
      </c>
      <c r="I14">
        <v>0</v>
      </c>
      <c r="J14" s="15">
        <v>1</v>
      </c>
      <c r="K14" t="s">
        <v>161</v>
      </c>
      <c r="L14" t="s">
        <v>153</v>
      </c>
      <c r="M14">
        <v>0</v>
      </c>
      <c r="N14" t="s">
        <v>154</v>
      </c>
      <c r="Q14" t="s">
        <v>169</v>
      </c>
      <c r="R14" s="14">
        <v>1303</v>
      </c>
      <c r="S14" s="14" t="s">
        <v>161</v>
      </c>
      <c r="T14" s="14" t="s">
        <v>154</v>
      </c>
      <c r="U14" s="14" t="s">
        <v>153</v>
      </c>
    </row>
    <row r="15" spans="1:22" x14ac:dyDescent="0.25">
      <c r="A15">
        <v>6</v>
      </c>
      <c r="B15" t="s">
        <v>151</v>
      </c>
      <c r="C15">
        <v>19240</v>
      </c>
      <c r="D15" t="s">
        <v>152</v>
      </c>
      <c r="E15" t="s">
        <v>103</v>
      </c>
      <c r="F15" t="s">
        <v>82</v>
      </c>
      <c r="G15">
        <v>140</v>
      </c>
      <c r="H15">
        <v>2133</v>
      </c>
      <c r="I15">
        <v>0</v>
      </c>
      <c r="J15" s="15">
        <v>1</v>
      </c>
      <c r="K15" t="s">
        <v>161</v>
      </c>
      <c r="L15" t="s">
        <v>153</v>
      </c>
      <c r="M15">
        <v>0</v>
      </c>
      <c r="N15" t="s">
        <v>154</v>
      </c>
      <c r="Q15" t="s">
        <v>170</v>
      </c>
      <c r="R15" s="14">
        <v>2133</v>
      </c>
      <c r="S15" s="3" t="s">
        <v>160</v>
      </c>
      <c r="T15" s="14" t="s">
        <v>154</v>
      </c>
      <c r="U15" s="14" t="s">
        <v>153</v>
      </c>
    </row>
    <row r="16" spans="1:22" x14ac:dyDescent="0.25">
      <c r="A16">
        <v>7</v>
      </c>
      <c r="B16" t="s">
        <v>151</v>
      </c>
      <c r="C16">
        <v>20108</v>
      </c>
      <c r="D16" t="s">
        <v>152</v>
      </c>
      <c r="E16" t="s">
        <v>103</v>
      </c>
      <c r="F16" t="s">
        <v>82</v>
      </c>
      <c r="G16">
        <v>113</v>
      </c>
      <c r="H16">
        <v>1022</v>
      </c>
      <c r="I16">
        <v>0</v>
      </c>
      <c r="J16" s="15">
        <v>1</v>
      </c>
      <c r="K16" t="s">
        <v>161</v>
      </c>
      <c r="L16" t="s">
        <v>153</v>
      </c>
      <c r="M16">
        <v>0</v>
      </c>
      <c r="N16" t="s">
        <v>154</v>
      </c>
      <c r="Q16" t="s">
        <v>171</v>
      </c>
      <c r="R16" s="14">
        <v>1022</v>
      </c>
      <c r="S16" s="14" t="s">
        <v>161</v>
      </c>
      <c r="T16" s="14" t="s">
        <v>154</v>
      </c>
      <c r="U16" s="14" t="s">
        <v>153</v>
      </c>
    </row>
    <row r="17" spans="1:21" x14ac:dyDescent="0.25">
      <c r="A17">
        <v>8</v>
      </c>
      <c r="B17" t="s">
        <v>151</v>
      </c>
      <c r="C17">
        <v>47022</v>
      </c>
      <c r="D17" t="s">
        <v>152</v>
      </c>
      <c r="E17" t="s">
        <v>103</v>
      </c>
      <c r="F17" t="s">
        <v>82</v>
      </c>
      <c r="G17">
        <v>27</v>
      </c>
      <c r="H17">
        <v>1180</v>
      </c>
      <c r="I17">
        <v>0</v>
      </c>
      <c r="J17" s="15">
        <v>1</v>
      </c>
      <c r="K17" t="s">
        <v>159</v>
      </c>
      <c r="L17" t="s">
        <v>153</v>
      </c>
      <c r="M17">
        <v>0</v>
      </c>
      <c r="N17" t="s">
        <v>154</v>
      </c>
      <c r="Q17" t="s">
        <v>172</v>
      </c>
      <c r="R17" s="14">
        <v>1180</v>
      </c>
      <c r="S17" s="3" t="s">
        <v>160</v>
      </c>
      <c r="T17" s="14" t="s">
        <v>154</v>
      </c>
      <c r="U17" s="14" t="s">
        <v>153</v>
      </c>
    </row>
    <row r="18" spans="1:21" x14ac:dyDescent="0.25">
      <c r="A18">
        <v>9</v>
      </c>
      <c r="B18" t="s">
        <v>151</v>
      </c>
      <c r="C18">
        <v>17854</v>
      </c>
      <c r="D18" t="s">
        <v>152</v>
      </c>
      <c r="E18" t="s">
        <v>103</v>
      </c>
      <c r="F18" t="s">
        <v>82</v>
      </c>
      <c r="G18">
        <v>107</v>
      </c>
      <c r="H18">
        <v>1593</v>
      </c>
      <c r="I18">
        <v>0</v>
      </c>
      <c r="J18" s="15">
        <v>1</v>
      </c>
      <c r="K18" t="s">
        <v>159</v>
      </c>
      <c r="L18" t="s">
        <v>153</v>
      </c>
      <c r="M18">
        <v>0</v>
      </c>
      <c r="N18" t="s">
        <v>154</v>
      </c>
      <c r="Q18" t="s">
        <v>173</v>
      </c>
      <c r="R18" s="3">
        <v>1937</v>
      </c>
      <c r="S18" s="3" t="s">
        <v>160</v>
      </c>
      <c r="T18" s="14" t="s">
        <v>154</v>
      </c>
      <c r="U18" s="14" t="s">
        <v>153</v>
      </c>
    </row>
    <row r="19" spans="1:21" x14ac:dyDescent="0.25">
      <c r="A19">
        <v>10</v>
      </c>
      <c r="B19" t="s">
        <v>151</v>
      </c>
      <c r="C19">
        <v>61730</v>
      </c>
      <c r="D19" t="s">
        <v>152</v>
      </c>
      <c r="E19" t="s">
        <v>103</v>
      </c>
      <c r="F19" t="s">
        <v>82</v>
      </c>
      <c r="G19">
        <v>86</v>
      </c>
      <c r="H19">
        <v>1848</v>
      </c>
      <c r="I19">
        <v>0</v>
      </c>
      <c r="J19" s="15">
        <v>1</v>
      </c>
      <c r="K19" t="s">
        <v>161</v>
      </c>
      <c r="L19" t="s">
        <v>153</v>
      </c>
      <c r="M19">
        <v>0</v>
      </c>
      <c r="N19" t="s">
        <v>154</v>
      </c>
      <c r="Q19" t="s">
        <v>174</v>
      </c>
      <c r="R19" s="3">
        <v>2243</v>
      </c>
      <c r="S19" s="14" t="s">
        <v>161</v>
      </c>
      <c r="T19" s="14" t="s">
        <v>154</v>
      </c>
      <c r="U19" s="14" t="s">
        <v>153</v>
      </c>
    </row>
    <row r="20" spans="1:21" x14ac:dyDescent="0.25">
      <c r="A20">
        <v>11</v>
      </c>
      <c r="B20" t="s">
        <v>151</v>
      </c>
      <c r="C20">
        <v>17737</v>
      </c>
      <c r="D20" t="s">
        <v>152</v>
      </c>
      <c r="E20" t="s">
        <v>103</v>
      </c>
      <c r="F20" t="s">
        <v>82</v>
      </c>
      <c r="G20">
        <v>22</v>
      </c>
      <c r="H20">
        <v>3323</v>
      </c>
      <c r="I20">
        <v>0</v>
      </c>
      <c r="J20" s="15">
        <v>1</v>
      </c>
      <c r="K20" t="s">
        <v>161</v>
      </c>
      <c r="L20" t="s">
        <v>153</v>
      </c>
      <c r="M20">
        <v>0</v>
      </c>
      <c r="N20" t="s">
        <v>154</v>
      </c>
      <c r="Q20" t="s">
        <v>175</v>
      </c>
      <c r="R20" s="3">
        <v>2273</v>
      </c>
      <c r="S20" s="14" t="s">
        <v>161</v>
      </c>
      <c r="T20" s="14" t="s">
        <v>154</v>
      </c>
      <c r="U20" s="14" t="s">
        <v>153</v>
      </c>
    </row>
    <row r="21" spans="1:21" x14ac:dyDescent="0.25">
      <c r="A21">
        <v>12</v>
      </c>
      <c r="B21" t="s">
        <v>151</v>
      </c>
      <c r="C21">
        <v>11618</v>
      </c>
      <c r="D21" t="s">
        <v>152</v>
      </c>
      <c r="E21" t="s">
        <v>103</v>
      </c>
      <c r="F21" t="s">
        <v>82</v>
      </c>
      <c r="G21">
        <v>131</v>
      </c>
      <c r="H21">
        <v>2498</v>
      </c>
      <c r="I21">
        <v>0</v>
      </c>
      <c r="J21" s="15">
        <v>1</v>
      </c>
      <c r="K21" t="s">
        <v>161</v>
      </c>
      <c r="L21" t="s">
        <v>153</v>
      </c>
      <c r="M21">
        <v>0</v>
      </c>
      <c r="N21" t="s">
        <v>154</v>
      </c>
      <c r="Q21" t="s">
        <v>176</v>
      </c>
      <c r="R21" s="3">
        <v>1163</v>
      </c>
      <c r="S21" s="14" t="s">
        <v>161</v>
      </c>
      <c r="T21" s="14" t="s">
        <v>154</v>
      </c>
      <c r="U21" s="14" t="s">
        <v>153</v>
      </c>
    </row>
    <row r="22" spans="1:21" x14ac:dyDescent="0.25">
      <c r="A22">
        <v>13</v>
      </c>
      <c r="B22" t="s">
        <v>151</v>
      </c>
      <c r="C22">
        <v>37052</v>
      </c>
      <c r="D22" t="s">
        <v>152</v>
      </c>
      <c r="E22" t="s">
        <v>103</v>
      </c>
      <c r="F22" t="s">
        <v>82</v>
      </c>
      <c r="G22">
        <v>49</v>
      </c>
      <c r="H22">
        <v>2326</v>
      </c>
      <c r="I22">
        <v>0</v>
      </c>
      <c r="J22" s="15">
        <v>1</v>
      </c>
      <c r="K22" t="s">
        <v>161</v>
      </c>
      <c r="L22" t="s">
        <v>153</v>
      </c>
      <c r="M22">
        <v>0</v>
      </c>
      <c r="N22" t="s">
        <v>154</v>
      </c>
      <c r="Q22" t="s">
        <v>177</v>
      </c>
      <c r="R22" s="3">
        <v>1657</v>
      </c>
      <c r="S22" s="14" t="s">
        <v>161</v>
      </c>
      <c r="T22" s="14" t="s">
        <v>154</v>
      </c>
      <c r="U22" s="14" t="s">
        <v>153</v>
      </c>
    </row>
    <row r="23" spans="1:21" x14ac:dyDescent="0.25">
      <c r="A23">
        <v>14</v>
      </c>
      <c r="B23" t="s">
        <v>151</v>
      </c>
      <c r="C23">
        <v>28309</v>
      </c>
      <c r="D23" t="s">
        <v>152</v>
      </c>
      <c r="E23" t="s">
        <v>103</v>
      </c>
      <c r="F23" t="s">
        <v>82</v>
      </c>
      <c r="G23">
        <v>86</v>
      </c>
      <c r="H23">
        <v>1986</v>
      </c>
      <c r="I23">
        <v>0</v>
      </c>
      <c r="J23" s="15">
        <v>1</v>
      </c>
      <c r="K23" t="s">
        <v>161</v>
      </c>
      <c r="L23" t="s">
        <v>153</v>
      </c>
      <c r="M23">
        <v>0</v>
      </c>
      <c r="N23" t="s">
        <v>154</v>
      </c>
      <c r="Q23" t="s">
        <v>178</v>
      </c>
      <c r="R23" s="3">
        <v>1974</v>
      </c>
      <c r="S23" s="14" t="s">
        <v>161</v>
      </c>
      <c r="T23" s="14" t="s">
        <v>154</v>
      </c>
      <c r="U23" s="14" t="s">
        <v>153</v>
      </c>
    </row>
    <row r="24" spans="1:21" x14ac:dyDescent="0.25">
      <c r="A24">
        <v>15</v>
      </c>
      <c r="B24" t="s">
        <v>151</v>
      </c>
      <c r="C24">
        <v>54078</v>
      </c>
      <c r="D24" t="s">
        <v>152</v>
      </c>
      <c r="E24" t="s">
        <v>103</v>
      </c>
      <c r="F24" t="s">
        <v>82</v>
      </c>
      <c r="G24">
        <v>101</v>
      </c>
      <c r="H24">
        <v>2739</v>
      </c>
      <c r="I24">
        <v>0</v>
      </c>
      <c r="J24" s="15">
        <v>1</v>
      </c>
      <c r="K24" t="s">
        <v>161</v>
      </c>
      <c r="L24" t="s">
        <v>153</v>
      </c>
      <c r="M24">
        <v>0</v>
      </c>
      <c r="N24" t="s">
        <v>154</v>
      </c>
      <c r="Q24" t="s">
        <v>179</v>
      </c>
      <c r="R24" s="3">
        <v>1150</v>
      </c>
      <c r="S24" s="14" t="s">
        <v>161</v>
      </c>
      <c r="T24" s="14" t="s">
        <v>154</v>
      </c>
      <c r="U24" s="14" t="s">
        <v>153</v>
      </c>
    </row>
    <row r="25" spans="1:21" x14ac:dyDescent="0.25">
      <c r="A25">
        <v>16</v>
      </c>
      <c r="B25" t="s">
        <v>151</v>
      </c>
      <c r="C25">
        <v>68601</v>
      </c>
      <c r="D25" t="s">
        <v>152</v>
      </c>
      <c r="E25" t="s">
        <v>103</v>
      </c>
      <c r="F25" t="s">
        <v>82</v>
      </c>
      <c r="G25">
        <v>144</v>
      </c>
      <c r="H25">
        <v>3055</v>
      </c>
      <c r="I25">
        <v>0</v>
      </c>
      <c r="J25" s="15">
        <v>1</v>
      </c>
      <c r="K25" t="s">
        <v>161</v>
      </c>
      <c r="L25" t="s">
        <v>153</v>
      </c>
      <c r="M25">
        <v>0</v>
      </c>
      <c r="N25" t="s">
        <v>154</v>
      </c>
      <c r="Q25" t="s">
        <v>180</v>
      </c>
      <c r="R25" s="3">
        <v>1462</v>
      </c>
      <c r="S25" s="14" t="s">
        <v>161</v>
      </c>
      <c r="T25" s="14" t="s">
        <v>154</v>
      </c>
      <c r="U25" s="14" t="s">
        <v>153</v>
      </c>
    </row>
    <row r="26" spans="1:21" x14ac:dyDescent="0.25">
      <c r="A26">
        <v>17</v>
      </c>
      <c r="B26" t="s">
        <v>151</v>
      </c>
      <c r="C26">
        <v>56739</v>
      </c>
      <c r="D26" t="s">
        <v>152</v>
      </c>
      <c r="E26" t="s">
        <v>103</v>
      </c>
      <c r="F26" t="s">
        <v>82</v>
      </c>
      <c r="G26">
        <v>90</v>
      </c>
      <c r="H26">
        <v>1733</v>
      </c>
      <c r="I26">
        <v>0</v>
      </c>
      <c r="J26" s="15">
        <v>1</v>
      </c>
      <c r="K26" t="s">
        <v>161</v>
      </c>
      <c r="L26" t="s">
        <v>153</v>
      </c>
      <c r="M26">
        <v>0</v>
      </c>
      <c r="N26" t="s">
        <v>154</v>
      </c>
      <c r="Q26" t="s">
        <v>181</v>
      </c>
      <c r="R26" s="3">
        <v>2025</v>
      </c>
      <c r="S26" s="14" t="s">
        <v>161</v>
      </c>
      <c r="T26" s="14" t="s">
        <v>154</v>
      </c>
      <c r="U26" s="14" t="s">
        <v>153</v>
      </c>
    </row>
    <row r="27" spans="1:21" x14ac:dyDescent="0.25">
      <c r="A27">
        <v>18</v>
      </c>
      <c r="B27" t="s">
        <v>151</v>
      </c>
      <c r="C27">
        <v>44006</v>
      </c>
      <c r="D27" t="s">
        <v>152</v>
      </c>
      <c r="E27" t="s">
        <v>103</v>
      </c>
      <c r="F27" t="s">
        <v>82</v>
      </c>
      <c r="G27">
        <v>31</v>
      </c>
      <c r="H27">
        <v>2216</v>
      </c>
      <c r="I27">
        <v>0</v>
      </c>
      <c r="J27" s="15">
        <v>1</v>
      </c>
      <c r="K27" t="s">
        <v>161</v>
      </c>
      <c r="L27" t="s">
        <v>153</v>
      </c>
      <c r="M27">
        <v>0</v>
      </c>
      <c r="N27" t="s">
        <v>154</v>
      </c>
      <c r="Q27" t="s">
        <v>182</v>
      </c>
      <c r="R27" s="14">
        <v>2216</v>
      </c>
      <c r="S27" s="14" t="s">
        <v>161</v>
      </c>
      <c r="T27" s="14" t="s">
        <v>154</v>
      </c>
      <c r="U27" s="14" t="s">
        <v>153</v>
      </c>
    </row>
    <row r="28" spans="1:21" x14ac:dyDescent="0.25">
      <c r="A28">
        <v>19</v>
      </c>
      <c r="B28" t="s">
        <v>151</v>
      </c>
      <c r="C28">
        <v>76974</v>
      </c>
      <c r="D28" t="s">
        <v>152</v>
      </c>
      <c r="E28" t="s">
        <v>103</v>
      </c>
      <c r="F28" t="s">
        <v>82</v>
      </c>
      <c r="G28">
        <v>82</v>
      </c>
      <c r="H28">
        <v>1431</v>
      </c>
      <c r="I28">
        <v>0</v>
      </c>
      <c r="J28" s="15">
        <v>1</v>
      </c>
      <c r="K28" t="s">
        <v>161</v>
      </c>
      <c r="L28" t="s">
        <v>153</v>
      </c>
      <c r="M28">
        <v>0</v>
      </c>
      <c r="N28" t="s">
        <v>154</v>
      </c>
      <c r="Q28" t="s">
        <v>183</v>
      </c>
      <c r="R28" s="14">
        <v>1431</v>
      </c>
      <c r="S28" s="14" t="s">
        <v>161</v>
      </c>
      <c r="T28" s="14" t="s">
        <v>154</v>
      </c>
      <c r="U28" s="14" t="s">
        <v>153</v>
      </c>
    </row>
    <row r="29" spans="1:21" x14ac:dyDescent="0.25">
      <c r="A29">
        <v>20</v>
      </c>
      <c r="B29" t="s">
        <v>151</v>
      </c>
      <c r="C29">
        <v>36893</v>
      </c>
      <c r="D29" t="s">
        <v>152</v>
      </c>
      <c r="E29" t="s">
        <v>103</v>
      </c>
      <c r="F29" t="s">
        <v>82</v>
      </c>
      <c r="G29">
        <v>118</v>
      </c>
      <c r="H29">
        <v>1027</v>
      </c>
      <c r="I29">
        <v>0</v>
      </c>
      <c r="J29" s="15">
        <v>1</v>
      </c>
      <c r="K29" t="s">
        <v>161</v>
      </c>
      <c r="L29" t="s">
        <v>153</v>
      </c>
      <c r="M29">
        <v>0</v>
      </c>
      <c r="N29" t="s">
        <v>154</v>
      </c>
      <c r="Q29" t="s">
        <v>184</v>
      </c>
      <c r="R29" s="14">
        <v>1027</v>
      </c>
      <c r="S29" s="14" t="s">
        <v>161</v>
      </c>
      <c r="T29" s="14" t="s">
        <v>154</v>
      </c>
      <c r="U29" s="14" t="s">
        <v>153</v>
      </c>
    </row>
    <row r="30" spans="1:21" x14ac:dyDescent="0.25">
      <c r="A30">
        <v>21</v>
      </c>
      <c r="B30" t="s">
        <v>151</v>
      </c>
      <c r="C30">
        <v>72387</v>
      </c>
      <c r="D30" t="s">
        <v>152</v>
      </c>
      <c r="E30" t="s">
        <v>103</v>
      </c>
      <c r="F30" t="s">
        <v>82</v>
      </c>
      <c r="G30">
        <v>127</v>
      </c>
      <c r="H30">
        <v>1117</v>
      </c>
      <c r="I30">
        <v>0</v>
      </c>
      <c r="J30" s="15">
        <v>1</v>
      </c>
      <c r="K30" t="s">
        <v>161</v>
      </c>
      <c r="L30" t="s">
        <v>153</v>
      </c>
      <c r="M30">
        <v>0</v>
      </c>
      <c r="N30" t="s">
        <v>154</v>
      </c>
      <c r="Q30" t="s">
        <v>185</v>
      </c>
      <c r="R30" s="14">
        <v>1117</v>
      </c>
      <c r="S30" s="14" t="s">
        <v>161</v>
      </c>
      <c r="T30" s="14" t="s">
        <v>154</v>
      </c>
      <c r="U30" s="14" t="s">
        <v>153</v>
      </c>
    </row>
    <row r="31" spans="1:21" x14ac:dyDescent="0.25">
      <c r="A31">
        <v>22</v>
      </c>
      <c r="B31" t="s">
        <v>151</v>
      </c>
      <c r="C31">
        <v>59146</v>
      </c>
      <c r="D31" t="s">
        <v>152</v>
      </c>
      <c r="E31" t="s">
        <v>103</v>
      </c>
      <c r="F31" t="s">
        <v>82</v>
      </c>
      <c r="G31">
        <v>103</v>
      </c>
      <c r="H31">
        <v>2271</v>
      </c>
      <c r="I31">
        <v>0</v>
      </c>
      <c r="J31" s="15">
        <v>1</v>
      </c>
      <c r="K31" t="s">
        <v>161</v>
      </c>
      <c r="L31" t="s">
        <v>153</v>
      </c>
      <c r="M31">
        <v>0</v>
      </c>
      <c r="N31" t="s">
        <v>154</v>
      </c>
      <c r="Q31" t="s">
        <v>186</v>
      </c>
      <c r="R31" s="14">
        <v>2271</v>
      </c>
      <c r="S31" s="14" t="s">
        <v>161</v>
      </c>
      <c r="T31" s="14" t="s">
        <v>154</v>
      </c>
      <c r="U31" s="14" t="s">
        <v>153</v>
      </c>
    </row>
    <row r="32" spans="1:21" x14ac:dyDescent="0.25">
      <c r="A32">
        <v>23</v>
      </c>
      <c r="B32" t="s">
        <v>151</v>
      </c>
      <c r="C32">
        <v>28818</v>
      </c>
      <c r="D32" t="s">
        <v>152</v>
      </c>
      <c r="E32" t="s">
        <v>103</v>
      </c>
      <c r="F32" t="s">
        <v>82</v>
      </c>
      <c r="G32">
        <v>146</v>
      </c>
      <c r="H32">
        <v>1881</v>
      </c>
      <c r="I32">
        <v>0</v>
      </c>
      <c r="J32" s="15">
        <v>1</v>
      </c>
      <c r="K32" t="s">
        <v>161</v>
      </c>
      <c r="L32" t="s">
        <v>153</v>
      </c>
      <c r="M32">
        <v>0</v>
      </c>
      <c r="N32" t="s">
        <v>154</v>
      </c>
      <c r="Q32" t="s">
        <v>187</v>
      </c>
      <c r="R32" s="14">
        <v>1881</v>
      </c>
      <c r="S32" s="14" t="s">
        <v>161</v>
      </c>
      <c r="T32" s="14" t="s">
        <v>154</v>
      </c>
      <c r="U32" s="14" t="s">
        <v>153</v>
      </c>
    </row>
    <row r="33" spans="1:21" x14ac:dyDescent="0.25">
      <c r="A33">
        <v>24</v>
      </c>
      <c r="B33" t="s">
        <v>151</v>
      </c>
      <c r="C33">
        <v>12082</v>
      </c>
      <c r="D33" t="s">
        <v>152</v>
      </c>
      <c r="E33" t="s">
        <v>103</v>
      </c>
      <c r="F33" t="s">
        <v>82</v>
      </c>
      <c r="G33">
        <v>78</v>
      </c>
      <c r="H33">
        <v>2455</v>
      </c>
      <c r="I33">
        <v>0</v>
      </c>
      <c r="J33" s="15">
        <v>1</v>
      </c>
      <c r="K33" t="s">
        <v>161</v>
      </c>
      <c r="L33" t="s">
        <v>153</v>
      </c>
      <c r="M33">
        <v>0</v>
      </c>
      <c r="N33" t="s">
        <v>154</v>
      </c>
      <c r="Q33" t="s">
        <v>188</v>
      </c>
      <c r="R33" s="14">
        <v>2455</v>
      </c>
      <c r="S33" s="14" t="s">
        <v>161</v>
      </c>
      <c r="T33" s="14" t="s">
        <v>154</v>
      </c>
      <c r="U33" s="14" t="s">
        <v>153</v>
      </c>
    </row>
    <row r="34" spans="1:21" x14ac:dyDescent="0.25">
      <c r="A34">
        <v>25</v>
      </c>
      <c r="B34" t="s">
        <v>151</v>
      </c>
      <c r="C34">
        <v>52931</v>
      </c>
      <c r="D34" t="s">
        <v>152</v>
      </c>
      <c r="E34" t="s">
        <v>103</v>
      </c>
      <c r="F34" t="s">
        <v>82</v>
      </c>
      <c r="G34">
        <v>88</v>
      </c>
      <c r="H34">
        <v>1548</v>
      </c>
      <c r="I34">
        <v>0</v>
      </c>
      <c r="J34" s="15">
        <v>1</v>
      </c>
      <c r="K34" t="s">
        <v>161</v>
      </c>
      <c r="L34" t="s">
        <v>153</v>
      </c>
      <c r="M34">
        <v>0</v>
      </c>
      <c r="N34" t="s">
        <v>154</v>
      </c>
      <c r="Q34" t="s">
        <v>189</v>
      </c>
      <c r="R34" s="14">
        <v>1548</v>
      </c>
      <c r="S34" s="14" t="s">
        <v>161</v>
      </c>
      <c r="T34" s="14" t="s">
        <v>154</v>
      </c>
      <c r="U34" s="14" t="s">
        <v>153</v>
      </c>
    </row>
    <row r="35" spans="1:21" x14ac:dyDescent="0.25">
      <c r="A35">
        <v>26</v>
      </c>
      <c r="B35" t="s">
        <v>151</v>
      </c>
      <c r="C35">
        <v>72404</v>
      </c>
      <c r="D35" t="s">
        <v>152</v>
      </c>
      <c r="E35" t="s">
        <v>103</v>
      </c>
      <c r="F35" t="s">
        <v>82</v>
      </c>
      <c r="G35">
        <v>124</v>
      </c>
      <c r="H35">
        <v>2894</v>
      </c>
      <c r="I35">
        <v>0</v>
      </c>
      <c r="J35" s="15">
        <v>1</v>
      </c>
      <c r="K35" t="s">
        <v>161</v>
      </c>
      <c r="L35" t="s">
        <v>153</v>
      </c>
      <c r="M35">
        <v>0</v>
      </c>
      <c r="N35" t="s">
        <v>154</v>
      </c>
      <c r="Q35" t="s">
        <v>190</v>
      </c>
      <c r="R35" s="3">
        <v>1608</v>
      </c>
      <c r="S35" s="14" t="s">
        <v>161</v>
      </c>
      <c r="T35" s="14" t="s">
        <v>154</v>
      </c>
      <c r="U35" s="14" t="s">
        <v>153</v>
      </c>
    </row>
    <row r="36" spans="1:21" x14ac:dyDescent="0.25">
      <c r="A36">
        <v>27</v>
      </c>
      <c r="B36" t="s">
        <v>151</v>
      </c>
      <c r="C36">
        <v>49029</v>
      </c>
      <c r="D36" t="s">
        <v>152</v>
      </c>
      <c r="E36" t="s">
        <v>103</v>
      </c>
      <c r="F36" t="s">
        <v>82</v>
      </c>
      <c r="G36">
        <v>92</v>
      </c>
      <c r="H36">
        <v>3621</v>
      </c>
      <c r="I36">
        <v>0</v>
      </c>
      <c r="J36" s="15">
        <v>1</v>
      </c>
      <c r="K36" t="s">
        <v>161</v>
      </c>
      <c r="L36" t="s">
        <v>153</v>
      </c>
      <c r="M36">
        <v>0</v>
      </c>
      <c r="N36" t="s">
        <v>154</v>
      </c>
      <c r="Q36" t="s">
        <v>191</v>
      </c>
      <c r="R36" s="3">
        <v>1664</v>
      </c>
      <c r="S36" s="14" t="s">
        <v>161</v>
      </c>
      <c r="T36" s="14" t="s">
        <v>154</v>
      </c>
      <c r="U36" s="14" t="s">
        <v>153</v>
      </c>
    </row>
    <row r="37" spans="1:21" x14ac:dyDescent="0.25">
      <c r="A37" s="25" t="s">
        <v>72</v>
      </c>
      <c r="B37" s="25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5"/>
      <c r="R37" s="14"/>
      <c r="S37" s="14"/>
      <c r="T37" s="14"/>
      <c r="U37" s="14"/>
    </row>
    <row r="38" spans="1:21" x14ac:dyDescent="0.25">
      <c r="A38">
        <v>1</v>
      </c>
      <c r="B38" t="s">
        <v>151</v>
      </c>
      <c r="C38">
        <v>76526</v>
      </c>
      <c r="D38" t="s">
        <v>152</v>
      </c>
      <c r="E38" t="s">
        <v>103</v>
      </c>
      <c r="F38" t="s">
        <v>82</v>
      </c>
      <c r="G38">
        <v>87</v>
      </c>
      <c r="H38">
        <v>3964</v>
      </c>
      <c r="I38">
        <v>0</v>
      </c>
      <c r="J38" s="15">
        <v>1</v>
      </c>
      <c r="K38" t="s">
        <v>162</v>
      </c>
      <c r="L38" t="s">
        <v>153</v>
      </c>
      <c r="M38">
        <v>0</v>
      </c>
      <c r="N38" t="s">
        <v>154</v>
      </c>
      <c r="Q38" t="s">
        <v>192</v>
      </c>
      <c r="R38" s="3">
        <v>1994</v>
      </c>
      <c r="S38" s="14" t="s">
        <v>162</v>
      </c>
      <c r="T38" s="14" t="s">
        <v>154</v>
      </c>
      <c r="U38" s="14" t="s">
        <v>153</v>
      </c>
    </row>
    <row r="39" spans="1:21" x14ac:dyDescent="0.25">
      <c r="A39">
        <v>2</v>
      </c>
      <c r="B39" t="s">
        <v>151</v>
      </c>
      <c r="C39">
        <v>61863</v>
      </c>
      <c r="D39" t="s">
        <v>152</v>
      </c>
      <c r="E39" t="s">
        <v>103</v>
      </c>
      <c r="F39" t="s">
        <v>82</v>
      </c>
      <c r="G39">
        <v>83</v>
      </c>
      <c r="H39">
        <v>3584</v>
      </c>
      <c r="I39">
        <v>0</v>
      </c>
      <c r="J39" s="15">
        <v>1</v>
      </c>
      <c r="K39" t="s">
        <v>162</v>
      </c>
      <c r="L39" t="s">
        <v>153</v>
      </c>
      <c r="M39">
        <v>0</v>
      </c>
      <c r="N39" t="s">
        <v>154</v>
      </c>
      <c r="Q39" t="s">
        <v>193</v>
      </c>
      <c r="R39" s="3">
        <v>2094</v>
      </c>
      <c r="S39" s="14" t="s">
        <v>162</v>
      </c>
      <c r="T39" s="14" t="s">
        <v>154</v>
      </c>
      <c r="U39" s="14" t="s">
        <v>153</v>
      </c>
    </row>
    <row r="40" spans="1:21" x14ac:dyDescent="0.25">
      <c r="A40">
        <v>3</v>
      </c>
      <c r="B40" t="s">
        <v>151</v>
      </c>
      <c r="C40">
        <v>61128</v>
      </c>
      <c r="D40" t="s">
        <v>152</v>
      </c>
      <c r="E40" t="s">
        <v>103</v>
      </c>
      <c r="F40" t="s">
        <v>82</v>
      </c>
      <c r="G40">
        <v>87</v>
      </c>
      <c r="H40">
        <v>1615</v>
      </c>
      <c r="I40">
        <v>0</v>
      </c>
      <c r="J40" s="15">
        <v>1</v>
      </c>
      <c r="K40" t="s">
        <v>162</v>
      </c>
      <c r="L40" t="s">
        <v>153</v>
      </c>
      <c r="M40">
        <v>0</v>
      </c>
      <c r="N40" t="s">
        <v>154</v>
      </c>
      <c r="Q40" t="s">
        <v>194</v>
      </c>
      <c r="R40" s="14">
        <v>1615</v>
      </c>
      <c r="S40" s="14" t="s">
        <v>162</v>
      </c>
      <c r="T40" s="14" t="s">
        <v>154</v>
      </c>
      <c r="U40" s="14" t="s">
        <v>153</v>
      </c>
    </row>
    <row r="41" spans="1:21" x14ac:dyDescent="0.25">
      <c r="A41">
        <v>4</v>
      </c>
      <c r="B41" t="s">
        <v>151</v>
      </c>
      <c r="C41">
        <v>35486</v>
      </c>
      <c r="D41" t="s">
        <v>152</v>
      </c>
      <c r="E41" t="s">
        <v>103</v>
      </c>
      <c r="F41" t="s">
        <v>82</v>
      </c>
      <c r="G41">
        <v>131</v>
      </c>
      <c r="H41">
        <v>1071</v>
      </c>
      <c r="I41">
        <v>0</v>
      </c>
      <c r="J41" s="15">
        <v>1</v>
      </c>
      <c r="K41" t="s">
        <v>163</v>
      </c>
      <c r="L41" t="s">
        <v>153</v>
      </c>
      <c r="M41">
        <v>0</v>
      </c>
      <c r="N41" t="s">
        <v>154</v>
      </c>
      <c r="Q41" t="s">
        <v>195</v>
      </c>
      <c r="R41" s="14">
        <v>1071</v>
      </c>
      <c r="S41" s="14" t="s">
        <v>163</v>
      </c>
      <c r="T41" s="14" t="s">
        <v>154</v>
      </c>
      <c r="U41" s="14" t="s">
        <v>153</v>
      </c>
    </row>
    <row r="42" spans="1:21" x14ac:dyDescent="0.25">
      <c r="A42">
        <v>5</v>
      </c>
      <c r="B42" t="s">
        <v>151</v>
      </c>
      <c r="C42">
        <v>49009</v>
      </c>
      <c r="D42" t="s">
        <v>152</v>
      </c>
      <c r="E42" t="s">
        <v>103</v>
      </c>
      <c r="F42" t="s">
        <v>82</v>
      </c>
      <c r="G42">
        <v>107</v>
      </c>
      <c r="H42">
        <v>2394</v>
      </c>
      <c r="I42">
        <v>0</v>
      </c>
      <c r="J42" s="15">
        <v>1</v>
      </c>
      <c r="K42" t="s">
        <v>163</v>
      </c>
      <c r="L42" t="s">
        <v>153</v>
      </c>
      <c r="M42">
        <v>0</v>
      </c>
      <c r="N42" t="s">
        <v>154</v>
      </c>
      <c r="Q42" t="s">
        <v>196</v>
      </c>
      <c r="R42" s="14">
        <v>2394</v>
      </c>
      <c r="S42" s="14" t="s">
        <v>163</v>
      </c>
      <c r="T42" s="14" t="s">
        <v>154</v>
      </c>
      <c r="U42" s="14" t="s">
        <v>153</v>
      </c>
    </row>
    <row r="43" spans="1:21" x14ac:dyDescent="0.25">
      <c r="A43">
        <v>6</v>
      </c>
      <c r="B43" t="s">
        <v>151</v>
      </c>
      <c r="C43">
        <v>67938</v>
      </c>
      <c r="D43" t="s">
        <v>152</v>
      </c>
      <c r="E43" t="s">
        <v>103</v>
      </c>
      <c r="F43" t="s">
        <v>82</v>
      </c>
      <c r="G43">
        <v>12</v>
      </c>
      <c r="H43">
        <v>1569</v>
      </c>
      <c r="I43">
        <v>0</v>
      </c>
      <c r="J43" s="15">
        <v>1</v>
      </c>
      <c r="K43" t="s">
        <v>163</v>
      </c>
      <c r="L43" t="s">
        <v>153</v>
      </c>
      <c r="M43">
        <v>0</v>
      </c>
      <c r="N43" t="s">
        <v>154</v>
      </c>
      <c r="Q43" t="s">
        <v>197</v>
      </c>
      <c r="R43" s="3">
        <v>1006</v>
      </c>
      <c r="S43" s="14" t="s">
        <v>163</v>
      </c>
      <c r="T43" s="14" t="s">
        <v>154</v>
      </c>
      <c r="U43" s="14" t="s">
        <v>153</v>
      </c>
    </row>
    <row r="44" spans="1:21" x14ac:dyDescent="0.25">
      <c r="A44">
        <v>7</v>
      </c>
      <c r="B44" t="s">
        <v>151</v>
      </c>
      <c r="C44">
        <v>25963</v>
      </c>
      <c r="D44" t="s">
        <v>152</v>
      </c>
      <c r="E44" t="s">
        <v>103</v>
      </c>
      <c r="F44" t="s">
        <v>82</v>
      </c>
      <c r="G44">
        <v>100</v>
      </c>
      <c r="H44">
        <v>2060</v>
      </c>
      <c r="I44">
        <v>0</v>
      </c>
      <c r="J44" s="15">
        <v>1</v>
      </c>
      <c r="K44" t="s">
        <v>163</v>
      </c>
      <c r="L44" t="s">
        <v>153</v>
      </c>
      <c r="M44">
        <v>0</v>
      </c>
      <c r="N44" t="s">
        <v>154</v>
      </c>
      <c r="Q44" t="s">
        <v>198</v>
      </c>
      <c r="R44" s="3">
        <v>1542</v>
      </c>
      <c r="S44" s="14" t="s">
        <v>163</v>
      </c>
      <c r="T44" s="14" t="s">
        <v>154</v>
      </c>
      <c r="U44" s="14" t="s">
        <v>153</v>
      </c>
    </row>
    <row r="45" spans="1:21" x14ac:dyDescent="0.25">
      <c r="A45">
        <v>8</v>
      </c>
      <c r="B45" t="s">
        <v>151</v>
      </c>
      <c r="C45">
        <v>61004</v>
      </c>
      <c r="D45" t="s">
        <v>152</v>
      </c>
      <c r="E45" t="s">
        <v>103</v>
      </c>
      <c r="F45" t="s">
        <v>82</v>
      </c>
      <c r="G45">
        <v>115</v>
      </c>
      <c r="H45">
        <v>1347</v>
      </c>
      <c r="I45">
        <v>0</v>
      </c>
      <c r="J45" s="15">
        <v>1</v>
      </c>
      <c r="K45" t="s">
        <v>162</v>
      </c>
      <c r="L45" t="s">
        <v>153</v>
      </c>
      <c r="M45">
        <v>0</v>
      </c>
      <c r="N45" t="s">
        <v>154</v>
      </c>
      <c r="Q45" t="s">
        <v>199</v>
      </c>
      <c r="R45" s="3">
        <v>1625</v>
      </c>
      <c r="S45" s="14" t="s">
        <v>162</v>
      </c>
      <c r="T45" s="14" t="s">
        <v>154</v>
      </c>
      <c r="U45" s="14" t="s">
        <v>153</v>
      </c>
    </row>
    <row r="46" spans="1:21" x14ac:dyDescent="0.25">
      <c r="A46">
        <v>9</v>
      </c>
      <c r="B46" t="s">
        <v>151</v>
      </c>
      <c r="C46">
        <v>41870</v>
      </c>
      <c r="D46" t="s">
        <v>152</v>
      </c>
      <c r="E46" t="s">
        <v>103</v>
      </c>
      <c r="F46" t="s">
        <v>82</v>
      </c>
      <c r="G46">
        <v>14</v>
      </c>
      <c r="H46">
        <v>1961</v>
      </c>
      <c r="I46">
        <v>0</v>
      </c>
      <c r="J46" s="15">
        <v>1</v>
      </c>
      <c r="K46" t="s">
        <v>162</v>
      </c>
      <c r="L46" t="s">
        <v>153</v>
      </c>
      <c r="M46">
        <v>0</v>
      </c>
      <c r="N46" t="s">
        <v>154</v>
      </c>
      <c r="Q46" t="s">
        <v>200</v>
      </c>
      <c r="R46" s="3">
        <v>1485</v>
      </c>
      <c r="S46" s="14" t="s">
        <v>162</v>
      </c>
      <c r="T46" s="14" t="s">
        <v>154</v>
      </c>
      <c r="U46" s="14" t="s">
        <v>153</v>
      </c>
    </row>
    <row r="47" spans="1:21" x14ac:dyDescent="0.25">
      <c r="A47">
        <v>10</v>
      </c>
      <c r="B47" t="s">
        <v>151</v>
      </c>
      <c r="C47">
        <v>15111</v>
      </c>
      <c r="D47" t="s">
        <v>152</v>
      </c>
      <c r="E47" t="s">
        <v>103</v>
      </c>
      <c r="F47" t="s">
        <v>82</v>
      </c>
      <c r="G47">
        <v>89</v>
      </c>
      <c r="H47">
        <v>1735</v>
      </c>
      <c r="I47">
        <v>0</v>
      </c>
      <c r="J47" s="15">
        <v>1</v>
      </c>
      <c r="K47" t="s">
        <v>163</v>
      </c>
      <c r="L47" t="s">
        <v>153</v>
      </c>
      <c r="M47">
        <v>0</v>
      </c>
      <c r="N47" t="s">
        <v>154</v>
      </c>
      <c r="Q47" t="s">
        <v>201</v>
      </c>
      <c r="R47" s="3">
        <v>1307</v>
      </c>
      <c r="S47" s="14" t="s">
        <v>163</v>
      </c>
      <c r="T47" s="14" t="s">
        <v>154</v>
      </c>
      <c r="U47" s="14" t="s">
        <v>153</v>
      </c>
    </row>
    <row r="48" spans="1:21" x14ac:dyDescent="0.25">
      <c r="A48" s="25" t="s">
        <v>73</v>
      </c>
      <c r="B48" s="25"/>
      <c r="C48" s="25"/>
      <c r="D48" s="25"/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5"/>
      <c r="R48" s="14"/>
      <c r="U48" s="14"/>
    </row>
    <row r="49" spans="1:22" x14ac:dyDescent="0.25">
      <c r="A49">
        <v>1</v>
      </c>
      <c r="B49" t="s">
        <v>151</v>
      </c>
      <c r="C49">
        <v>23456</v>
      </c>
      <c r="D49" t="s">
        <v>152</v>
      </c>
      <c r="E49" t="s">
        <v>103</v>
      </c>
      <c r="F49" t="s">
        <v>82</v>
      </c>
      <c r="G49">
        <v>62</v>
      </c>
      <c r="H49">
        <v>2459</v>
      </c>
      <c r="I49">
        <v>0</v>
      </c>
      <c r="J49" s="15">
        <v>1</v>
      </c>
      <c r="L49" t="s">
        <v>153</v>
      </c>
      <c r="M49">
        <v>0</v>
      </c>
      <c r="O49" t="s">
        <v>219</v>
      </c>
      <c r="Q49" t="s">
        <v>202</v>
      </c>
      <c r="R49" s="3">
        <v>1428</v>
      </c>
      <c r="U49" s="14" t="s">
        <v>153</v>
      </c>
      <c r="V49" s="3" t="s">
        <v>218</v>
      </c>
    </row>
    <row r="50" spans="1:22" x14ac:dyDescent="0.25">
      <c r="A50" s="24" t="s">
        <v>155</v>
      </c>
      <c r="B50" s="24"/>
      <c r="C50" s="24"/>
      <c r="D50" s="24"/>
      <c r="E50" s="24"/>
      <c r="F50" s="24"/>
      <c r="H50" s="1">
        <f>SUM(H10:H36,H38:H47,H49)</f>
        <v>78580</v>
      </c>
      <c r="R50" s="3">
        <v>63879</v>
      </c>
    </row>
  </sheetData>
  <mergeCells count="5">
    <mergeCell ref="Q8:V8"/>
    <mergeCell ref="A9:O9"/>
    <mergeCell ref="A37:O37"/>
    <mergeCell ref="A48:O48"/>
    <mergeCell ref="A50:F50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_xludf.Clear">
                <anchor>
                  <from>
                    <xdr:col>16</xdr:col>
                    <xdr:colOff>45720</xdr:colOff>
                    <xdr:row>4</xdr:row>
                    <xdr:rowOff>167640</xdr:rowOff>
                  </from>
                  <to>
                    <xdr:col>16</xdr:col>
                    <xdr:colOff>678180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UWS">
                <anchor>
                  <from>
                    <xdr:col>16</xdr:col>
                    <xdr:colOff>716280</xdr:colOff>
                    <xdr:row>4</xdr:row>
                    <xdr:rowOff>167640</xdr:rowOff>
                  </from>
                  <to>
                    <xdr:col>17</xdr:col>
                    <xdr:colOff>388620</xdr:colOff>
                    <xdr:row>6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_xludf.Save">
                <anchor>
                  <from>
                    <xdr:col>17</xdr:col>
                    <xdr:colOff>426720</xdr:colOff>
                    <xdr:row>4</xdr:row>
                    <xdr:rowOff>167640</xdr:rowOff>
                  </from>
                  <to>
                    <xdr:col>17</xdr:col>
                    <xdr:colOff>1059180</xdr:colOff>
                    <xdr:row>6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938ED-96AF-47D9-A030-E5CB60F22E89}">
  <sheetPr codeName="M02PALLET">
    <tabColor theme="5"/>
  </sheetPr>
  <dimension ref="C5:P50"/>
  <sheetViews>
    <sheetView zoomScale="90" zoomScaleNormal="90" workbookViewId="0">
      <selection activeCell="D9" sqref="D9"/>
    </sheetView>
  </sheetViews>
  <sheetFormatPr defaultRowHeight="13.8" x14ac:dyDescent="0.25"/>
  <cols>
    <col min="2" max="2" width="0" hidden="1" customWidth="1"/>
    <col min="4" max="4" width="12.59765625" bestFit="1" customWidth="1"/>
    <col min="7" max="7" width="5.09765625" customWidth="1"/>
    <col min="8" max="8" width="4.69921875" customWidth="1"/>
    <col min="15" max="15" width="5.59765625" customWidth="1"/>
    <col min="16" max="16" width="16.19921875" customWidth="1"/>
  </cols>
  <sheetData>
    <row r="5" spans="3:16" x14ac:dyDescent="0.25">
      <c r="C5" t="s">
        <v>203</v>
      </c>
      <c r="D5" t="s">
        <v>74</v>
      </c>
      <c r="E5" t="s">
        <v>204</v>
      </c>
      <c r="F5" t="s">
        <v>205</v>
      </c>
      <c r="G5" s="24" t="s">
        <v>206</v>
      </c>
      <c r="H5" s="24"/>
      <c r="I5" t="s">
        <v>207</v>
      </c>
      <c r="J5" t="s">
        <v>208</v>
      </c>
      <c r="K5" t="s">
        <v>209</v>
      </c>
      <c r="L5" t="s">
        <v>210</v>
      </c>
      <c r="M5" t="s">
        <v>211</v>
      </c>
      <c r="N5" t="s">
        <v>212</v>
      </c>
      <c r="O5" s="24" t="s">
        <v>15</v>
      </c>
      <c r="P5" s="24"/>
    </row>
    <row r="6" spans="3:16" hidden="1" x14ac:dyDescent="0.25"/>
    <row r="7" spans="3:16" x14ac:dyDescent="0.25">
      <c r="C7">
        <v>1</v>
      </c>
      <c r="D7" t="s">
        <v>165</v>
      </c>
      <c r="E7" t="s">
        <v>216</v>
      </c>
      <c r="F7">
        <v>2358</v>
      </c>
      <c r="G7" s="24">
        <v>102</v>
      </c>
      <c r="H7" s="24"/>
      <c r="I7" t="s">
        <v>217</v>
      </c>
      <c r="J7" t="s">
        <v>159</v>
      </c>
      <c r="K7" t="s">
        <v>82</v>
      </c>
      <c r="M7" t="s">
        <v>153</v>
      </c>
      <c r="N7" t="s">
        <v>154</v>
      </c>
      <c r="O7" s="24"/>
      <c r="P7" s="24"/>
    </row>
    <row r="8" spans="3:16" x14ac:dyDescent="0.25">
      <c r="C8">
        <v>2</v>
      </c>
      <c r="D8" t="s">
        <v>166</v>
      </c>
      <c r="E8" t="s">
        <v>216</v>
      </c>
      <c r="F8">
        <v>2382</v>
      </c>
      <c r="G8" s="24">
        <v>102</v>
      </c>
      <c r="H8" s="24"/>
      <c r="I8" t="s">
        <v>217</v>
      </c>
      <c r="J8" t="s">
        <v>159</v>
      </c>
      <c r="K8" t="s">
        <v>82</v>
      </c>
      <c r="M8" t="s">
        <v>153</v>
      </c>
      <c r="N8" t="s">
        <v>154</v>
      </c>
      <c r="O8" s="24"/>
      <c r="P8" s="24"/>
    </row>
    <row r="9" spans="3:16" x14ac:dyDescent="0.25">
      <c r="C9">
        <v>3</v>
      </c>
      <c r="D9" t="s">
        <v>167</v>
      </c>
      <c r="E9" t="s">
        <v>216</v>
      </c>
      <c r="F9">
        <v>1218</v>
      </c>
      <c r="G9" s="24">
        <v>102</v>
      </c>
      <c r="H9" s="24"/>
      <c r="I9" t="s">
        <v>217</v>
      </c>
      <c r="J9" t="s">
        <v>159</v>
      </c>
      <c r="K9" t="s">
        <v>82</v>
      </c>
      <c r="M9" t="s">
        <v>153</v>
      </c>
      <c r="N9" t="s">
        <v>154</v>
      </c>
      <c r="O9" s="24"/>
      <c r="P9" s="24"/>
    </row>
    <row r="10" spans="3:16" x14ac:dyDescent="0.25">
      <c r="C10">
        <v>4</v>
      </c>
      <c r="D10" t="s">
        <v>168</v>
      </c>
      <c r="E10" t="s">
        <v>216</v>
      </c>
      <c r="F10">
        <v>1620</v>
      </c>
      <c r="G10" s="24">
        <v>102</v>
      </c>
      <c r="H10" s="24"/>
      <c r="I10" t="s">
        <v>217</v>
      </c>
      <c r="J10" t="s">
        <v>161</v>
      </c>
      <c r="K10" t="s">
        <v>82</v>
      </c>
      <c r="M10" t="s">
        <v>153</v>
      </c>
      <c r="N10" t="s">
        <v>154</v>
      </c>
      <c r="O10" s="24"/>
      <c r="P10" s="24"/>
    </row>
    <row r="11" spans="3:16" x14ac:dyDescent="0.25">
      <c r="C11">
        <v>5</v>
      </c>
      <c r="D11" t="s">
        <v>169</v>
      </c>
      <c r="E11" t="s">
        <v>216</v>
      </c>
      <c r="F11">
        <v>1303</v>
      </c>
      <c r="G11" s="24">
        <v>102</v>
      </c>
      <c r="H11" s="24"/>
      <c r="I11" t="s">
        <v>217</v>
      </c>
      <c r="J11" t="s">
        <v>161</v>
      </c>
      <c r="K11" t="s">
        <v>82</v>
      </c>
      <c r="M11" t="s">
        <v>153</v>
      </c>
      <c r="N11" t="s">
        <v>154</v>
      </c>
      <c r="O11" s="24"/>
      <c r="P11" s="24"/>
    </row>
    <row r="12" spans="3:16" x14ac:dyDescent="0.25">
      <c r="C12">
        <v>6</v>
      </c>
      <c r="D12" t="s">
        <v>170</v>
      </c>
      <c r="E12" t="s">
        <v>216</v>
      </c>
      <c r="F12">
        <v>2133</v>
      </c>
      <c r="G12" s="24">
        <v>102</v>
      </c>
      <c r="H12" s="24"/>
      <c r="I12" t="s">
        <v>217</v>
      </c>
      <c r="J12" t="s">
        <v>160</v>
      </c>
      <c r="K12" t="s">
        <v>82</v>
      </c>
      <c r="M12" t="s">
        <v>153</v>
      </c>
      <c r="N12" t="s">
        <v>154</v>
      </c>
      <c r="O12" s="24"/>
      <c r="P12" s="24"/>
    </row>
    <row r="13" spans="3:16" x14ac:dyDescent="0.25">
      <c r="C13">
        <v>7</v>
      </c>
      <c r="D13" t="s">
        <v>171</v>
      </c>
      <c r="E13" t="s">
        <v>216</v>
      </c>
      <c r="F13">
        <v>1022</v>
      </c>
      <c r="G13" s="24">
        <v>102</v>
      </c>
      <c r="H13" s="24"/>
      <c r="I13" t="s">
        <v>217</v>
      </c>
      <c r="J13" t="s">
        <v>161</v>
      </c>
      <c r="K13" t="s">
        <v>82</v>
      </c>
      <c r="M13" t="s">
        <v>153</v>
      </c>
      <c r="N13" t="s">
        <v>154</v>
      </c>
      <c r="O13" s="24"/>
      <c r="P13" s="24"/>
    </row>
    <row r="14" spans="3:16" x14ac:dyDescent="0.25">
      <c r="C14">
        <v>8</v>
      </c>
      <c r="D14" t="s">
        <v>172</v>
      </c>
      <c r="E14" t="s">
        <v>216</v>
      </c>
      <c r="F14">
        <v>1180</v>
      </c>
      <c r="G14" s="24">
        <v>102</v>
      </c>
      <c r="H14" s="24"/>
      <c r="I14" t="s">
        <v>217</v>
      </c>
      <c r="J14" t="s">
        <v>160</v>
      </c>
      <c r="K14" t="s">
        <v>82</v>
      </c>
      <c r="M14" t="s">
        <v>153</v>
      </c>
      <c r="N14" t="s">
        <v>154</v>
      </c>
      <c r="O14" s="24"/>
      <c r="P14" s="24"/>
    </row>
    <row r="15" spans="3:16" x14ac:dyDescent="0.25">
      <c r="C15">
        <v>9</v>
      </c>
      <c r="D15" t="s">
        <v>173</v>
      </c>
      <c r="E15" t="s">
        <v>216</v>
      </c>
      <c r="F15">
        <v>1937</v>
      </c>
      <c r="G15" s="24">
        <v>102</v>
      </c>
      <c r="H15" s="24"/>
      <c r="I15" t="s">
        <v>217</v>
      </c>
      <c r="J15" t="s">
        <v>160</v>
      </c>
      <c r="K15" t="s">
        <v>82</v>
      </c>
      <c r="M15" t="s">
        <v>153</v>
      </c>
      <c r="N15" t="s">
        <v>154</v>
      </c>
      <c r="O15" s="24"/>
      <c r="P15" s="24"/>
    </row>
    <row r="16" spans="3:16" x14ac:dyDescent="0.25">
      <c r="C16">
        <v>10</v>
      </c>
      <c r="D16" t="s">
        <v>174</v>
      </c>
      <c r="E16" t="s">
        <v>216</v>
      </c>
      <c r="F16">
        <v>2243</v>
      </c>
      <c r="G16" s="24">
        <v>102</v>
      </c>
      <c r="H16" s="24"/>
      <c r="I16" t="s">
        <v>217</v>
      </c>
      <c r="J16" t="s">
        <v>161</v>
      </c>
      <c r="K16" t="s">
        <v>82</v>
      </c>
      <c r="M16" t="s">
        <v>153</v>
      </c>
      <c r="N16" t="s">
        <v>154</v>
      </c>
      <c r="O16" s="24"/>
      <c r="P16" s="24"/>
    </row>
    <row r="17" spans="3:16" x14ac:dyDescent="0.25">
      <c r="C17">
        <v>11</v>
      </c>
      <c r="D17" t="s">
        <v>175</v>
      </c>
      <c r="E17" t="s">
        <v>216</v>
      </c>
      <c r="F17">
        <v>2273</v>
      </c>
      <c r="G17" s="24">
        <v>102</v>
      </c>
      <c r="H17" s="24"/>
      <c r="I17" t="s">
        <v>217</v>
      </c>
      <c r="J17" t="s">
        <v>161</v>
      </c>
      <c r="K17" t="s">
        <v>82</v>
      </c>
      <c r="M17" t="s">
        <v>153</v>
      </c>
      <c r="N17" t="s">
        <v>154</v>
      </c>
      <c r="O17" s="24"/>
      <c r="P17" s="24"/>
    </row>
    <row r="18" spans="3:16" x14ac:dyDescent="0.25">
      <c r="C18">
        <v>12</v>
      </c>
      <c r="D18" t="s">
        <v>176</v>
      </c>
      <c r="E18" t="s">
        <v>216</v>
      </c>
      <c r="F18">
        <v>1163</v>
      </c>
      <c r="G18" s="24">
        <v>102</v>
      </c>
      <c r="H18" s="24"/>
      <c r="I18" t="s">
        <v>217</v>
      </c>
      <c r="J18" t="s">
        <v>161</v>
      </c>
      <c r="K18" t="s">
        <v>82</v>
      </c>
      <c r="M18" t="s">
        <v>153</v>
      </c>
      <c r="N18" t="s">
        <v>154</v>
      </c>
      <c r="O18" s="24"/>
      <c r="P18" s="24"/>
    </row>
    <row r="19" spans="3:16" x14ac:dyDescent="0.25">
      <c r="C19">
        <v>13</v>
      </c>
      <c r="D19" t="s">
        <v>177</v>
      </c>
      <c r="E19" t="s">
        <v>216</v>
      </c>
      <c r="F19">
        <v>1657</v>
      </c>
      <c r="G19" s="24">
        <v>102</v>
      </c>
      <c r="H19" s="24"/>
      <c r="I19" t="s">
        <v>217</v>
      </c>
      <c r="J19" t="s">
        <v>161</v>
      </c>
      <c r="K19" t="s">
        <v>82</v>
      </c>
      <c r="M19" t="s">
        <v>153</v>
      </c>
      <c r="N19" t="s">
        <v>154</v>
      </c>
      <c r="O19" s="24"/>
      <c r="P19" s="24"/>
    </row>
    <row r="20" spans="3:16" x14ac:dyDescent="0.25">
      <c r="C20">
        <v>14</v>
      </c>
      <c r="D20" t="s">
        <v>178</v>
      </c>
      <c r="E20" t="s">
        <v>216</v>
      </c>
      <c r="F20">
        <v>1974</v>
      </c>
      <c r="G20" s="24">
        <v>102</v>
      </c>
      <c r="H20" s="24"/>
      <c r="I20" t="s">
        <v>217</v>
      </c>
      <c r="J20" t="s">
        <v>161</v>
      </c>
      <c r="K20" t="s">
        <v>82</v>
      </c>
      <c r="M20" t="s">
        <v>153</v>
      </c>
      <c r="N20" t="s">
        <v>154</v>
      </c>
      <c r="O20" s="24"/>
      <c r="P20" s="24"/>
    </row>
    <row r="21" spans="3:16" x14ac:dyDescent="0.25">
      <c r="C21">
        <v>15</v>
      </c>
      <c r="D21" t="s">
        <v>179</v>
      </c>
      <c r="E21" t="s">
        <v>216</v>
      </c>
      <c r="F21">
        <v>1150</v>
      </c>
      <c r="G21" s="24">
        <v>102</v>
      </c>
      <c r="H21" s="24"/>
      <c r="I21" t="s">
        <v>217</v>
      </c>
      <c r="J21" t="s">
        <v>161</v>
      </c>
      <c r="K21" t="s">
        <v>82</v>
      </c>
      <c r="M21" t="s">
        <v>153</v>
      </c>
      <c r="N21" t="s">
        <v>154</v>
      </c>
      <c r="O21" s="24"/>
      <c r="P21" s="24"/>
    </row>
    <row r="22" spans="3:16" x14ac:dyDescent="0.25">
      <c r="C22">
        <v>16</v>
      </c>
      <c r="D22" t="s">
        <v>180</v>
      </c>
      <c r="E22" t="s">
        <v>216</v>
      </c>
      <c r="F22">
        <v>1462</v>
      </c>
      <c r="G22" s="24">
        <v>102</v>
      </c>
      <c r="H22" s="24"/>
      <c r="I22" t="s">
        <v>217</v>
      </c>
      <c r="J22" t="s">
        <v>161</v>
      </c>
      <c r="K22" t="s">
        <v>82</v>
      </c>
      <c r="M22" t="s">
        <v>153</v>
      </c>
      <c r="N22" t="s">
        <v>154</v>
      </c>
      <c r="O22" s="24"/>
      <c r="P22" s="24"/>
    </row>
    <row r="23" spans="3:16" x14ac:dyDescent="0.25">
      <c r="C23">
        <v>17</v>
      </c>
      <c r="D23" t="s">
        <v>181</v>
      </c>
      <c r="E23" t="s">
        <v>216</v>
      </c>
      <c r="F23">
        <v>2025</v>
      </c>
      <c r="G23" s="24">
        <v>102</v>
      </c>
      <c r="H23" s="24"/>
      <c r="I23" t="s">
        <v>217</v>
      </c>
      <c r="J23" t="s">
        <v>161</v>
      </c>
      <c r="K23" t="s">
        <v>82</v>
      </c>
      <c r="M23" t="s">
        <v>153</v>
      </c>
      <c r="N23" t="s">
        <v>154</v>
      </c>
      <c r="O23" s="24"/>
      <c r="P23" s="24"/>
    </row>
    <row r="24" spans="3:16" x14ac:dyDescent="0.25">
      <c r="C24">
        <v>18</v>
      </c>
      <c r="D24" t="s">
        <v>182</v>
      </c>
      <c r="E24" t="s">
        <v>216</v>
      </c>
      <c r="F24">
        <v>2216</v>
      </c>
      <c r="G24" s="24">
        <v>102</v>
      </c>
      <c r="H24" s="24"/>
      <c r="I24" t="s">
        <v>217</v>
      </c>
      <c r="J24" t="s">
        <v>161</v>
      </c>
      <c r="K24" t="s">
        <v>82</v>
      </c>
      <c r="M24" t="s">
        <v>153</v>
      </c>
      <c r="N24" t="s">
        <v>154</v>
      </c>
      <c r="O24" s="24"/>
      <c r="P24" s="24"/>
    </row>
    <row r="25" spans="3:16" x14ac:dyDescent="0.25">
      <c r="C25">
        <v>19</v>
      </c>
      <c r="D25" t="s">
        <v>183</v>
      </c>
      <c r="E25" t="s">
        <v>216</v>
      </c>
      <c r="F25">
        <v>1431</v>
      </c>
      <c r="G25" s="24">
        <v>102</v>
      </c>
      <c r="H25" s="24"/>
      <c r="I25" t="s">
        <v>217</v>
      </c>
      <c r="J25" t="s">
        <v>161</v>
      </c>
      <c r="K25" t="s">
        <v>82</v>
      </c>
      <c r="M25" t="s">
        <v>153</v>
      </c>
      <c r="N25" t="s">
        <v>154</v>
      </c>
      <c r="O25" s="24"/>
      <c r="P25" s="24"/>
    </row>
    <row r="26" spans="3:16" x14ac:dyDescent="0.25">
      <c r="C26">
        <v>20</v>
      </c>
      <c r="D26" t="s">
        <v>184</v>
      </c>
      <c r="E26" t="s">
        <v>216</v>
      </c>
      <c r="F26">
        <v>1027</v>
      </c>
      <c r="G26" s="24">
        <v>102</v>
      </c>
      <c r="H26" s="24"/>
      <c r="I26" t="s">
        <v>217</v>
      </c>
      <c r="J26" t="s">
        <v>161</v>
      </c>
      <c r="K26" t="s">
        <v>82</v>
      </c>
      <c r="M26" t="s">
        <v>153</v>
      </c>
      <c r="N26" t="s">
        <v>154</v>
      </c>
      <c r="O26" s="24"/>
      <c r="P26" s="24"/>
    </row>
    <row r="27" spans="3:16" x14ac:dyDescent="0.25">
      <c r="C27">
        <v>21</v>
      </c>
      <c r="D27" t="s">
        <v>185</v>
      </c>
      <c r="E27" t="s">
        <v>216</v>
      </c>
      <c r="F27">
        <v>1117</v>
      </c>
      <c r="G27" s="24">
        <v>102</v>
      </c>
      <c r="H27" s="24"/>
      <c r="I27" t="s">
        <v>217</v>
      </c>
      <c r="J27" t="s">
        <v>161</v>
      </c>
      <c r="K27" t="s">
        <v>82</v>
      </c>
      <c r="M27" t="s">
        <v>153</v>
      </c>
      <c r="N27" t="s">
        <v>154</v>
      </c>
      <c r="O27" s="24"/>
      <c r="P27" s="24"/>
    </row>
    <row r="28" spans="3:16" x14ac:dyDescent="0.25">
      <c r="C28">
        <v>22</v>
      </c>
      <c r="D28" t="s">
        <v>186</v>
      </c>
      <c r="E28" t="s">
        <v>216</v>
      </c>
      <c r="F28">
        <v>2271</v>
      </c>
      <c r="G28" s="24">
        <v>102</v>
      </c>
      <c r="H28" s="24"/>
      <c r="I28" t="s">
        <v>217</v>
      </c>
      <c r="J28" t="s">
        <v>161</v>
      </c>
      <c r="K28" t="s">
        <v>82</v>
      </c>
      <c r="M28" t="s">
        <v>153</v>
      </c>
      <c r="N28" t="s">
        <v>154</v>
      </c>
      <c r="O28" s="24"/>
      <c r="P28" s="24"/>
    </row>
    <row r="29" spans="3:16" x14ac:dyDescent="0.25">
      <c r="C29">
        <v>23</v>
      </c>
      <c r="D29" t="s">
        <v>187</v>
      </c>
      <c r="E29" t="s">
        <v>216</v>
      </c>
      <c r="F29">
        <v>1881</v>
      </c>
      <c r="G29" s="24">
        <v>102</v>
      </c>
      <c r="H29" s="24"/>
      <c r="I29" t="s">
        <v>217</v>
      </c>
      <c r="J29" t="s">
        <v>161</v>
      </c>
      <c r="K29" t="s">
        <v>82</v>
      </c>
      <c r="M29" t="s">
        <v>153</v>
      </c>
      <c r="N29" t="s">
        <v>154</v>
      </c>
      <c r="O29" s="24"/>
      <c r="P29" s="24"/>
    </row>
    <row r="30" spans="3:16" x14ac:dyDescent="0.25">
      <c r="C30">
        <v>24</v>
      </c>
      <c r="D30" t="s">
        <v>188</v>
      </c>
      <c r="E30" t="s">
        <v>216</v>
      </c>
      <c r="F30">
        <v>2455</v>
      </c>
      <c r="G30" s="24">
        <v>102</v>
      </c>
      <c r="H30" s="24"/>
      <c r="I30" t="s">
        <v>217</v>
      </c>
      <c r="J30" t="s">
        <v>161</v>
      </c>
      <c r="K30" t="s">
        <v>82</v>
      </c>
      <c r="M30" t="s">
        <v>153</v>
      </c>
      <c r="N30" t="s">
        <v>154</v>
      </c>
      <c r="O30" s="24"/>
      <c r="P30" s="24"/>
    </row>
    <row r="31" spans="3:16" x14ac:dyDescent="0.25">
      <c r="C31">
        <v>25</v>
      </c>
      <c r="D31" t="s">
        <v>189</v>
      </c>
      <c r="E31" t="s">
        <v>216</v>
      </c>
      <c r="F31">
        <v>1548</v>
      </c>
      <c r="G31" s="24">
        <v>102</v>
      </c>
      <c r="H31" s="24"/>
      <c r="I31" t="s">
        <v>217</v>
      </c>
      <c r="J31" t="s">
        <v>161</v>
      </c>
      <c r="K31" t="s">
        <v>82</v>
      </c>
      <c r="M31" t="s">
        <v>153</v>
      </c>
      <c r="N31" t="s">
        <v>154</v>
      </c>
      <c r="O31" s="24"/>
      <c r="P31" s="24"/>
    </row>
    <row r="32" spans="3:16" x14ac:dyDescent="0.25">
      <c r="C32">
        <v>26</v>
      </c>
      <c r="D32" t="s">
        <v>190</v>
      </c>
      <c r="E32" t="s">
        <v>216</v>
      </c>
      <c r="F32">
        <v>1608</v>
      </c>
      <c r="G32" s="24">
        <v>102</v>
      </c>
      <c r="H32" s="24"/>
      <c r="I32" t="s">
        <v>217</v>
      </c>
      <c r="J32" t="s">
        <v>161</v>
      </c>
      <c r="K32" t="s">
        <v>82</v>
      </c>
      <c r="M32" t="s">
        <v>153</v>
      </c>
      <c r="N32" t="s">
        <v>154</v>
      </c>
      <c r="O32" s="24"/>
      <c r="P32" s="24"/>
    </row>
    <row r="33" spans="3:16" x14ac:dyDescent="0.25">
      <c r="C33">
        <v>27</v>
      </c>
      <c r="D33" t="s">
        <v>191</v>
      </c>
      <c r="E33" t="s">
        <v>216</v>
      </c>
      <c r="F33">
        <v>1664</v>
      </c>
      <c r="G33" s="24">
        <v>102</v>
      </c>
      <c r="H33" s="24"/>
      <c r="I33" t="s">
        <v>217</v>
      </c>
      <c r="J33" t="s">
        <v>161</v>
      </c>
      <c r="K33" t="s">
        <v>82</v>
      </c>
      <c r="M33" t="s">
        <v>153</v>
      </c>
      <c r="N33" t="s">
        <v>154</v>
      </c>
      <c r="O33" s="24"/>
      <c r="P33" s="24"/>
    </row>
    <row r="34" spans="3:16" x14ac:dyDescent="0.25">
      <c r="C34">
        <v>28</v>
      </c>
      <c r="D34" t="s">
        <v>192</v>
      </c>
      <c r="E34" t="s">
        <v>216</v>
      </c>
      <c r="F34">
        <v>1994</v>
      </c>
      <c r="G34" s="24">
        <v>102</v>
      </c>
      <c r="H34" s="24"/>
      <c r="I34" t="s">
        <v>217</v>
      </c>
      <c r="J34" t="s">
        <v>162</v>
      </c>
      <c r="K34" t="s">
        <v>82</v>
      </c>
      <c r="M34" t="s">
        <v>153</v>
      </c>
      <c r="N34" t="s">
        <v>154</v>
      </c>
      <c r="O34" s="24"/>
      <c r="P34" s="24"/>
    </row>
    <row r="35" spans="3:16" x14ac:dyDescent="0.25">
      <c r="C35">
        <v>29</v>
      </c>
      <c r="D35" t="s">
        <v>193</v>
      </c>
      <c r="E35" t="s">
        <v>216</v>
      </c>
      <c r="F35">
        <v>2094</v>
      </c>
      <c r="G35" s="24">
        <v>102</v>
      </c>
      <c r="H35" s="24"/>
      <c r="I35" t="s">
        <v>217</v>
      </c>
      <c r="J35" t="s">
        <v>162</v>
      </c>
      <c r="K35" t="s">
        <v>82</v>
      </c>
      <c r="M35" t="s">
        <v>153</v>
      </c>
      <c r="N35" t="s">
        <v>154</v>
      </c>
      <c r="O35" s="24"/>
      <c r="P35" s="24"/>
    </row>
    <row r="36" spans="3:16" x14ac:dyDescent="0.25">
      <c r="C36">
        <v>30</v>
      </c>
      <c r="D36" t="s">
        <v>194</v>
      </c>
      <c r="E36" t="s">
        <v>216</v>
      </c>
      <c r="F36">
        <v>1615</v>
      </c>
      <c r="G36" s="24">
        <v>102</v>
      </c>
      <c r="H36" s="24"/>
      <c r="I36" t="s">
        <v>217</v>
      </c>
      <c r="J36" t="s">
        <v>162</v>
      </c>
      <c r="K36" t="s">
        <v>82</v>
      </c>
      <c r="M36" t="s">
        <v>153</v>
      </c>
      <c r="N36" t="s">
        <v>154</v>
      </c>
      <c r="O36" s="24"/>
      <c r="P36" s="24"/>
    </row>
    <row r="37" spans="3:16" x14ac:dyDescent="0.25">
      <c r="C37">
        <v>31</v>
      </c>
      <c r="D37" t="s">
        <v>195</v>
      </c>
      <c r="E37" t="s">
        <v>216</v>
      </c>
      <c r="F37">
        <v>1071</v>
      </c>
      <c r="G37" s="24">
        <v>102</v>
      </c>
      <c r="H37" s="24"/>
      <c r="I37" t="s">
        <v>217</v>
      </c>
      <c r="J37" t="s">
        <v>163</v>
      </c>
      <c r="K37" t="s">
        <v>82</v>
      </c>
      <c r="M37" t="s">
        <v>153</v>
      </c>
      <c r="N37" t="s">
        <v>154</v>
      </c>
      <c r="O37" s="24"/>
      <c r="P37" s="24"/>
    </row>
    <row r="38" spans="3:16" x14ac:dyDescent="0.25">
      <c r="C38">
        <v>32</v>
      </c>
      <c r="D38" t="s">
        <v>196</v>
      </c>
      <c r="E38" t="s">
        <v>216</v>
      </c>
      <c r="F38">
        <v>2394</v>
      </c>
      <c r="G38" s="24">
        <v>102</v>
      </c>
      <c r="H38" s="24"/>
      <c r="I38" t="s">
        <v>217</v>
      </c>
      <c r="J38" t="s">
        <v>163</v>
      </c>
      <c r="K38" t="s">
        <v>82</v>
      </c>
      <c r="M38" t="s">
        <v>153</v>
      </c>
      <c r="N38" t="s">
        <v>154</v>
      </c>
      <c r="O38" s="24"/>
      <c r="P38" s="24"/>
    </row>
    <row r="39" spans="3:16" x14ac:dyDescent="0.25">
      <c r="C39">
        <v>33</v>
      </c>
      <c r="D39" t="s">
        <v>197</v>
      </c>
      <c r="E39" t="s">
        <v>216</v>
      </c>
      <c r="F39">
        <v>1006</v>
      </c>
      <c r="G39" s="24">
        <v>102</v>
      </c>
      <c r="H39" s="24"/>
      <c r="I39" t="s">
        <v>217</v>
      </c>
      <c r="J39" t="s">
        <v>163</v>
      </c>
      <c r="K39" t="s">
        <v>82</v>
      </c>
      <c r="M39" t="s">
        <v>153</v>
      </c>
      <c r="N39" t="s">
        <v>154</v>
      </c>
      <c r="O39" s="24"/>
      <c r="P39" s="24"/>
    </row>
    <row r="40" spans="3:16" x14ac:dyDescent="0.25">
      <c r="C40">
        <v>34</v>
      </c>
      <c r="D40" t="s">
        <v>198</v>
      </c>
      <c r="E40" t="s">
        <v>216</v>
      </c>
      <c r="F40">
        <v>1542</v>
      </c>
      <c r="G40" s="24">
        <v>102</v>
      </c>
      <c r="H40" s="24"/>
      <c r="I40" t="s">
        <v>217</v>
      </c>
      <c r="J40" t="s">
        <v>163</v>
      </c>
      <c r="K40" t="s">
        <v>82</v>
      </c>
      <c r="M40" t="s">
        <v>153</v>
      </c>
      <c r="N40" t="s">
        <v>154</v>
      </c>
      <c r="O40" s="24"/>
      <c r="P40" s="24"/>
    </row>
    <row r="41" spans="3:16" x14ac:dyDescent="0.25">
      <c r="C41">
        <v>35</v>
      </c>
      <c r="D41" t="s">
        <v>199</v>
      </c>
      <c r="E41" t="s">
        <v>216</v>
      </c>
      <c r="F41">
        <v>1625</v>
      </c>
      <c r="G41" s="24">
        <v>102</v>
      </c>
      <c r="H41" s="24"/>
      <c r="I41" t="s">
        <v>217</v>
      </c>
      <c r="J41" t="s">
        <v>162</v>
      </c>
      <c r="K41" t="s">
        <v>82</v>
      </c>
      <c r="M41" t="s">
        <v>153</v>
      </c>
      <c r="N41" t="s">
        <v>154</v>
      </c>
      <c r="O41" s="24"/>
      <c r="P41" s="24"/>
    </row>
    <row r="42" spans="3:16" x14ac:dyDescent="0.25">
      <c r="C42">
        <v>36</v>
      </c>
      <c r="D42" t="s">
        <v>200</v>
      </c>
      <c r="E42" t="s">
        <v>216</v>
      </c>
      <c r="F42">
        <v>1485</v>
      </c>
      <c r="G42" s="24">
        <v>102</v>
      </c>
      <c r="H42" s="24"/>
      <c r="I42" t="s">
        <v>217</v>
      </c>
      <c r="J42" t="s">
        <v>162</v>
      </c>
      <c r="K42" t="s">
        <v>82</v>
      </c>
      <c r="M42" t="s">
        <v>153</v>
      </c>
      <c r="N42" t="s">
        <v>154</v>
      </c>
      <c r="O42" s="24"/>
      <c r="P42" s="24"/>
    </row>
    <row r="43" spans="3:16" x14ac:dyDescent="0.25">
      <c r="C43">
        <v>37</v>
      </c>
      <c r="D43" t="s">
        <v>201</v>
      </c>
      <c r="E43" t="s">
        <v>216</v>
      </c>
      <c r="F43">
        <v>1307</v>
      </c>
      <c r="G43" s="24">
        <v>102</v>
      </c>
      <c r="H43" s="24"/>
      <c r="I43" t="s">
        <v>217</v>
      </c>
      <c r="J43" t="s">
        <v>163</v>
      </c>
      <c r="K43" t="s">
        <v>82</v>
      </c>
      <c r="M43" t="s">
        <v>153</v>
      </c>
      <c r="N43" t="s">
        <v>154</v>
      </c>
      <c r="O43" s="24"/>
      <c r="P43" s="24"/>
    </row>
    <row r="44" spans="3:16" x14ac:dyDescent="0.25">
      <c r="C44" t="s">
        <v>31</v>
      </c>
      <c r="G44" s="24"/>
      <c r="H44" s="24"/>
      <c r="O44" s="24"/>
      <c r="P44" s="24"/>
    </row>
    <row r="45" spans="3:16" x14ac:dyDescent="0.25">
      <c r="G45" s="24"/>
      <c r="H45" s="24"/>
      <c r="O45" s="24"/>
      <c r="P45" s="24"/>
    </row>
    <row r="46" spans="3:16" x14ac:dyDescent="0.25">
      <c r="C46" t="s">
        <v>14</v>
      </c>
      <c r="G46" s="24"/>
      <c r="H46" s="24"/>
      <c r="O46" s="24"/>
      <c r="P46" s="24"/>
    </row>
    <row r="47" spans="3:16" x14ac:dyDescent="0.25">
      <c r="C47" t="s">
        <v>213</v>
      </c>
      <c r="D47" t="s">
        <v>74</v>
      </c>
      <c r="E47" t="s">
        <v>204</v>
      </c>
      <c r="F47" t="s">
        <v>205</v>
      </c>
      <c r="G47" s="24" t="s">
        <v>206</v>
      </c>
      <c r="H47" s="24"/>
      <c r="I47" t="s">
        <v>207</v>
      </c>
      <c r="J47" t="s">
        <v>208</v>
      </c>
      <c r="K47" t="s">
        <v>209</v>
      </c>
      <c r="L47" t="s">
        <v>210</v>
      </c>
      <c r="M47" t="s">
        <v>214</v>
      </c>
      <c r="N47" t="s">
        <v>212</v>
      </c>
      <c r="P47" t="s">
        <v>15</v>
      </c>
    </row>
    <row r="48" spans="3:16" hidden="1" x14ac:dyDescent="0.25"/>
    <row r="49" spans="3:16" x14ac:dyDescent="0.25">
      <c r="C49">
        <v>38</v>
      </c>
      <c r="D49" t="s">
        <v>215</v>
      </c>
      <c r="E49" t="s">
        <v>216</v>
      </c>
      <c r="F49">
        <v>1428</v>
      </c>
      <c r="G49" s="24" t="s">
        <v>216</v>
      </c>
      <c r="H49" s="24"/>
      <c r="I49" t="s">
        <v>217</v>
      </c>
      <c r="K49" t="s">
        <v>82</v>
      </c>
      <c r="M49" t="s">
        <v>153</v>
      </c>
      <c r="P49" t="s">
        <v>218</v>
      </c>
    </row>
    <row r="50" spans="3:16" x14ac:dyDescent="0.25">
      <c r="F50">
        <f>SUM(F49,F7:F43)</f>
        <v>63879</v>
      </c>
    </row>
  </sheetData>
  <mergeCells count="84">
    <mergeCell ref="O10:P10"/>
    <mergeCell ref="G37:H37"/>
    <mergeCell ref="G25:H25"/>
    <mergeCell ref="G26:H26"/>
    <mergeCell ref="G27:H27"/>
    <mergeCell ref="G28:H28"/>
    <mergeCell ref="G29:H29"/>
    <mergeCell ref="O16:P16"/>
    <mergeCell ref="G30:H30"/>
    <mergeCell ref="G19:H19"/>
    <mergeCell ref="G20:H20"/>
    <mergeCell ref="G21:H21"/>
    <mergeCell ref="G22:H22"/>
    <mergeCell ref="G10:H10"/>
    <mergeCell ref="G11:H11"/>
    <mergeCell ref="G12:H12"/>
    <mergeCell ref="G38:H38"/>
    <mergeCell ref="G39:H39"/>
    <mergeCell ref="G40:H40"/>
    <mergeCell ref="G31:H31"/>
    <mergeCell ref="G32:H32"/>
    <mergeCell ref="G33:H33"/>
    <mergeCell ref="G34:H34"/>
    <mergeCell ref="G35:H35"/>
    <mergeCell ref="G36:H36"/>
    <mergeCell ref="G5:H5"/>
    <mergeCell ref="O5:P5"/>
    <mergeCell ref="O7:P7"/>
    <mergeCell ref="O8:P8"/>
    <mergeCell ref="O9:P9"/>
    <mergeCell ref="G7:H7"/>
    <mergeCell ref="G8:H8"/>
    <mergeCell ref="G9:H9"/>
    <mergeCell ref="G23:H23"/>
    <mergeCell ref="G24:H24"/>
    <mergeCell ref="G18:H18"/>
    <mergeCell ref="O11:P11"/>
    <mergeCell ref="O12:P12"/>
    <mergeCell ref="O13:P13"/>
    <mergeCell ref="O14:P14"/>
    <mergeCell ref="O15:P15"/>
    <mergeCell ref="G15:H15"/>
    <mergeCell ref="G16:H16"/>
    <mergeCell ref="G17:H17"/>
    <mergeCell ref="G13:H13"/>
    <mergeCell ref="G14:H14"/>
    <mergeCell ref="O28:P28"/>
    <mergeCell ref="O17:P17"/>
    <mergeCell ref="O18:P18"/>
    <mergeCell ref="O19:P19"/>
    <mergeCell ref="O20:P20"/>
    <mergeCell ref="O21:P21"/>
    <mergeCell ref="O22:P22"/>
    <mergeCell ref="O23:P23"/>
    <mergeCell ref="O24:P24"/>
    <mergeCell ref="O25:P25"/>
    <mergeCell ref="O26:P26"/>
    <mergeCell ref="O27:P27"/>
    <mergeCell ref="O40:P40"/>
    <mergeCell ref="O29:P29"/>
    <mergeCell ref="O30:P30"/>
    <mergeCell ref="O31:P31"/>
    <mergeCell ref="O32:P32"/>
    <mergeCell ref="O33:P33"/>
    <mergeCell ref="O34:P34"/>
    <mergeCell ref="O35:P35"/>
    <mergeCell ref="O36:P36"/>
    <mergeCell ref="O37:P37"/>
    <mergeCell ref="O38:P38"/>
    <mergeCell ref="O39:P39"/>
    <mergeCell ref="G47:H47"/>
    <mergeCell ref="G49:H49"/>
    <mergeCell ref="O41:P41"/>
    <mergeCell ref="O42:P42"/>
    <mergeCell ref="O43:P43"/>
    <mergeCell ref="O44:P44"/>
    <mergeCell ref="O45:P45"/>
    <mergeCell ref="O46:P46"/>
    <mergeCell ref="G43:H43"/>
    <mergeCell ref="G44:H44"/>
    <mergeCell ref="G45:H45"/>
    <mergeCell ref="G46:H46"/>
    <mergeCell ref="G41:H41"/>
    <mergeCell ref="G42:H4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872139-3AAA-404E-B95A-9C07288377F6}">
  <sheetPr codeName="G05NOTOC">
    <tabColor rgb="FF92D050"/>
  </sheetPr>
  <dimension ref="A1:U16"/>
  <sheetViews>
    <sheetView zoomScale="90" zoomScaleNormal="90" workbookViewId="0">
      <selection activeCell="O5" sqref="O5"/>
    </sheetView>
  </sheetViews>
  <sheetFormatPr defaultRowHeight="13.8" x14ac:dyDescent="0.25"/>
  <cols>
    <col min="2" max="2" width="13.09765625" bestFit="1" customWidth="1"/>
    <col min="3" max="3" width="6.09765625" customWidth="1"/>
    <col min="4" max="4" width="4.796875" customWidth="1"/>
    <col min="5" max="5" width="5.5" customWidth="1"/>
    <col min="6" max="6" width="3.59765625" customWidth="1"/>
    <col min="7" max="7" width="4.796875" customWidth="1"/>
    <col min="8" max="8" width="5.8984375" customWidth="1"/>
    <col min="9" max="9" width="4.8984375" customWidth="1"/>
    <col min="10" max="10" width="6.5" customWidth="1"/>
    <col min="11" max="11" width="4.59765625" customWidth="1"/>
    <col min="12" max="12" width="4.5" customWidth="1"/>
    <col min="15" max="15" width="5.59765625" customWidth="1"/>
    <col min="16" max="16" width="6.19921875" customWidth="1"/>
    <col min="20" max="20" width="12.69921875" bestFit="1" customWidth="1"/>
    <col min="21" max="21" width="12.796875" bestFit="1" customWidth="1"/>
  </cols>
  <sheetData>
    <row r="1" spans="1:21" x14ac:dyDescent="0.25">
      <c r="T1" t="s">
        <v>147</v>
      </c>
    </row>
    <row r="10" spans="1:21" x14ac:dyDescent="0.25">
      <c r="A10" s="26" t="s">
        <v>79</v>
      </c>
      <c r="B10" s="26" t="s">
        <v>80</v>
      </c>
      <c r="C10" s="26" t="s">
        <v>81</v>
      </c>
      <c r="D10" s="26"/>
      <c r="E10" s="26" t="s">
        <v>83</v>
      </c>
      <c r="F10" s="26"/>
      <c r="G10" s="26" t="s">
        <v>84</v>
      </c>
      <c r="H10" s="26"/>
      <c r="I10" s="26" t="s">
        <v>85</v>
      </c>
      <c r="J10" s="26"/>
      <c r="K10" s="26" t="s">
        <v>86</v>
      </c>
      <c r="L10" s="26"/>
      <c r="M10" s="26" t="s">
        <v>87</v>
      </c>
      <c r="N10" s="26"/>
      <c r="O10" s="26"/>
      <c r="P10" s="26"/>
      <c r="Q10" s="26"/>
      <c r="R10" s="26"/>
    </row>
    <row r="11" spans="1:21" x14ac:dyDescent="0.25">
      <c r="A11" s="26"/>
      <c r="B11" s="26"/>
      <c r="C11" s="26"/>
      <c r="D11" s="26"/>
      <c r="E11" s="26"/>
      <c r="F11" s="26"/>
      <c r="G11" s="26"/>
      <c r="H11" s="26"/>
      <c r="I11" s="26"/>
      <c r="J11" s="26"/>
      <c r="K11" s="26"/>
      <c r="L11" s="26"/>
      <c r="M11" s="26" t="s">
        <v>88</v>
      </c>
      <c r="N11" s="26"/>
      <c r="O11" s="26"/>
      <c r="P11" s="26"/>
      <c r="Q11" s="26"/>
      <c r="R11" s="5" t="s">
        <v>89</v>
      </c>
    </row>
    <row r="12" spans="1:21" x14ac:dyDescent="0.25">
      <c r="T12" s="8" t="s">
        <v>90</v>
      </c>
      <c r="U12" s="8" t="s">
        <v>91</v>
      </c>
    </row>
    <row r="13" spans="1:21" x14ac:dyDescent="0.25">
      <c r="A13" t="s">
        <v>82</v>
      </c>
      <c r="B13" t="s">
        <v>95</v>
      </c>
      <c r="M13" s="24" t="s">
        <v>92</v>
      </c>
      <c r="N13" s="24"/>
      <c r="O13" s="24"/>
      <c r="P13" s="24"/>
      <c r="Q13" s="24"/>
      <c r="T13" t="s">
        <v>95</v>
      </c>
      <c r="U13" s="4" t="s">
        <v>92</v>
      </c>
    </row>
    <row r="14" spans="1:21" x14ac:dyDescent="0.25">
      <c r="A14" t="s">
        <v>82</v>
      </c>
      <c r="B14" t="s">
        <v>96</v>
      </c>
      <c r="M14" s="27" t="s">
        <v>92</v>
      </c>
      <c r="N14" s="27"/>
      <c r="O14" s="27"/>
      <c r="P14" s="27"/>
      <c r="Q14" s="27"/>
      <c r="T14" t="s">
        <v>96</v>
      </c>
      <c r="U14" s="4" t="s">
        <v>92</v>
      </c>
    </row>
    <row r="15" spans="1:21" x14ac:dyDescent="0.25">
      <c r="A15" t="s">
        <v>82</v>
      </c>
      <c r="B15" t="s">
        <v>97</v>
      </c>
      <c r="M15" s="24" t="s">
        <v>165</v>
      </c>
      <c r="N15" s="24"/>
      <c r="O15" s="24"/>
      <c r="P15" s="24"/>
      <c r="Q15" s="24"/>
      <c r="T15" t="s">
        <v>97</v>
      </c>
      <c r="U15" t="s">
        <v>165</v>
      </c>
    </row>
    <row r="16" spans="1:21" x14ac:dyDescent="0.25">
      <c r="A16" t="s">
        <v>82</v>
      </c>
      <c r="B16" t="s">
        <v>227</v>
      </c>
      <c r="M16" s="24" t="s">
        <v>166</v>
      </c>
      <c r="N16" s="24"/>
      <c r="O16" s="24"/>
      <c r="P16" s="24"/>
      <c r="Q16" s="24"/>
      <c r="T16" s="4" t="s">
        <v>227</v>
      </c>
      <c r="U16" t="s">
        <v>166</v>
      </c>
    </row>
  </sheetData>
  <mergeCells count="13">
    <mergeCell ref="M15:Q15"/>
    <mergeCell ref="M16:Q16"/>
    <mergeCell ref="M10:R10"/>
    <mergeCell ref="M11:Q11"/>
    <mergeCell ref="M13:Q13"/>
    <mergeCell ref="M14:Q14"/>
    <mergeCell ref="I10:J11"/>
    <mergeCell ref="K10:L11"/>
    <mergeCell ref="A10:A11"/>
    <mergeCell ref="B10:B11"/>
    <mergeCell ref="C10:D11"/>
    <mergeCell ref="E10:F11"/>
    <mergeCell ref="G10:H1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_xludf.Clear">
                <anchor>
                  <from>
                    <xdr:col>19</xdr:col>
                    <xdr:colOff>30480</xdr:colOff>
                    <xdr:row>3</xdr:row>
                    <xdr:rowOff>83820</xdr:rowOff>
                  </from>
                  <to>
                    <xdr:col>19</xdr:col>
                    <xdr:colOff>731520</xdr:colOff>
                    <xdr:row>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4" name="Button 2">
              <controlPr defaultSize="0" print="0" autoFill="0" autoPict="0" macro="[0]!NOTOC">
                <anchor>
                  <from>
                    <xdr:col>19</xdr:col>
                    <xdr:colOff>914400</xdr:colOff>
                    <xdr:row>3</xdr:row>
                    <xdr:rowOff>99060</xdr:rowOff>
                  </from>
                  <to>
                    <xdr:col>20</xdr:col>
                    <xdr:colOff>647700</xdr:colOff>
                    <xdr:row>6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5" name="Button 3">
              <controlPr defaultSize="0" print="0" autoFill="0" autoPict="0" macro="[0]!_xludf.Save">
                <anchor>
                  <from>
                    <xdr:col>20</xdr:col>
                    <xdr:colOff>838200</xdr:colOff>
                    <xdr:row>3</xdr:row>
                    <xdr:rowOff>99060</xdr:rowOff>
                  </from>
                  <to>
                    <xdr:col>21</xdr:col>
                    <xdr:colOff>563880</xdr:colOff>
                    <xdr:row>6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FC91F8-AFB6-46FB-BDA7-7F587F647F47}">
  <sheetPr codeName="W01VBA"/>
  <dimension ref="N1:AX86"/>
  <sheetViews>
    <sheetView topLeftCell="AA1" workbookViewId="0">
      <selection activeCell="AG1" sqref="AG1:AX7"/>
    </sheetView>
  </sheetViews>
  <sheetFormatPr defaultRowHeight="13.8" x14ac:dyDescent="0.25"/>
  <sheetData>
    <row r="1" spans="14:50" x14ac:dyDescent="0.25">
      <c r="AG1" s="26" t="s">
        <v>79</v>
      </c>
      <c r="AH1" s="26" t="s">
        <v>80</v>
      </c>
      <c r="AI1" s="26" t="s">
        <v>81</v>
      </c>
      <c r="AJ1" s="26"/>
      <c r="AK1" s="26" t="s">
        <v>83</v>
      </c>
      <c r="AL1" s="26"/>
      <c r="AM1" s="26" t="s">
        <v>84</v>
      </c>
      <c r="AN1" s="26"/>
      <c r="AO1" s="26" t="s">
        <v>85</v>
      </c>
      <c r="AP1" s="26"/>
      <c r="AQ1" s="26" t="s">
        <v>86</v>
      </c>
      <c r="AR1" s="26"/>
      <c r="AS1" s="26" t="s">
        <v>87</v>
      </c>
      <c r="AT1" s="26"/>
      <c r="AU1" s="26"/>
      <c r="AV1" s="26"/>
      <c r="AW1" s="26"/>
      <c r="AX1" s="26"/>
    </row>
    <row r="2" spans="14:50" x14ac:dyDescent="0.25"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 t="s">
        <v>88</v>
      </c>
      <c r="AT2" s="26"/>
      <c r="AU2" s="26"/>
      <c r="AV2" s="26"/>
      <c r="AW2" s="26"/>
      <c r="AX2" s="5" t="s">
        <v>89</v>
      </c>
    </row>
    <row r="4" spans="14:50" x14ac:dyDescent="0.25">
      <c r="AG4" t="s">
        <v>82</v>
      </c>
      <c r="AH4" t="s">
        <v>95</v>
      </c>
      <c r="AS4" s="24" t="s">
        <v>92</v>
      </c>
      <c r="AT4" s="24"/>
      <c r="AU4" s="24"/>
      <c r="AV4" s="24"/>
      <c r="AW4" s="24"/>
    </row>
    <row r="5" spans="14:50" x14ac:dyDescent="0.25">
      <c r="AG5" t="s">
        <v>82</v>
      </c>
      <c r="AH5" t="s">
        <v>96</v>
      </c>
      <c r="AS5" s="27" t="s">
        <v>92</v>
      </c>
      <c r="AT5" s="27"/>
      <c r="AU5" s="27"/>
      <c r="AV5" s="27"/>
      <c r="AW5" s="27"/>
    </row>
    <row r="6" spans="14:50" x14ac:dyDescent="0.25">
      <c r="AG6" t="s">
        <v>82</v>
      </c>
      <c r="AH6" t="s">
        <v>97</v>
      </c>
      <c r="AS6" s="24" t="s">
        <v>165</v>
      </c>
      <c r="AT6" s="24"/>
      <c r="AU6" s="24"/>
      <c r="AV6" s="24"/>
      <c r="AW6" s="24"/>
    </row>
    <row r="7" spans="14:50" x14ac:dyDescent="0.25">
      <c r="AG7" t="s">
        <v>82</v>
      </c>
      <c r="AH7" t="s">
        <v>220</v>
      </c>
      <c r="AS7" s="24" t="s">
        <v>166</v>
      </c>
      <c r="AT7" s="24"/>
      <c r="AU7" s="24"/>
      <c r="AV7" s="24"/>
      <c r="AW7" s="24"/>
    </row>
    <row r="8" spans="14:50" x14ac:dyDescent="0.25">
      <c r="O8" t="s">
        <v>36</v>
      </c>
      <c r="P8" t="b">
        <f>IF(AND(LEN(O8)=12,ISNUMBER(LEFT(O8,3)*1),ISNUMBER(RIGHT(O8,8)*1),MID(O8,4,1)="-"),TRUE,FALSE)</f>
        <v>1</v>
      </c>
    </row>
    <row r="9" spans="14:50" x14ac:dyDescent="0.25">
      <c r="O9" t="s">
        <v>36</v>
      </c>
      <c r="P9" t="b">
        <f>IF(AND(LEN(O9)=12,ISNUMBER(LEFT(O9,3)*1),ISNUMBER(RIGHT(O9,8)*1),MID(O9,4,1)="-"),TRUE,FALSE)</f>
        <v>1</v>
      </c>
    </row>
    <row r="10" spans="14:50" x14ac:dyDescent="0.25">
      <c r="O10" t="s">
        <v>36</v>
      </c>
      <c r="P10" t="b">
        <f>IF(AND(LEN(O10)=12,ISNUMBER(LEFT(O10,3)*1),ISNUMBER(RIGHT(O10,8)*1),MID(O10,4,1)="-"),TRUE,FALSE)</f>
        <v>1</v>
      </c>
    </row>
    <row r="11" spans="14:50" x14ac:dyDescent="0.25">
      <c r="O11" t="s">
        <v>36</v>
      </c>
      <c r="P11" t="b">
        <f>IF(AND(LEN(O11)=12,ISNUMBER(LEFT(O11,3)*1),ISNUMBER(RIGHT(O11,8)*1),MID(O11,4,1)="-"),TRUE,FALSE)</f>
        <v>1</v>
      </c>
    </row>
    <row r="15" spans="14:50" x14ac:dyDescent="0.25">
      <c r="N15" s="6" t="s">
        <v>4</v>
      </c>
      <c r="O15" s="6" t="s">
        <v>5</v>
      </c>
      <c r="P15" s="6" t="s">
        <v>6</v>
      </c>
      <c r="Q15" s="6" t="s">
        <v>7</v>
      </c>
      <c r="R15" s="6" t="s">
        <v>8</v>
      </c>
      <c r="S15" s="6" t="s">
        <v>9</v>
      </c>
      <c r="T15" s="6" t="s">
        <v>10</v>
      </c>
      <c r="U15" s="7" t="s">
        <v>11</v>
      </c>
      <c r="V15" s="6" t="s">
        <v>12</v>
      </c>
      <c r="W15" s="6" t="s">
        <v>13</v>
      </c>
      <c r="X15" s="6" t="s">
        <v>33</v>
      </c>
      <c r="Y15" s="6" t="s">
        <v>34</v>
      </c>
      <c r="Z15" s="6" t="s">
        <v>14</v>
      </c>
      <c r="AA15" s="6" t="s">
        <v>15</v>
      </c>
    </row>
    <row r="16" spans="14:50" x14ac:dyDescent="0.25">
      <c r="N16" s="6">
        <v>1</v>
      </c>
      <c r="O16" s="6" t="s">
        <v>95</v>
      </c>
      <c r="P16" s="6" t="s">
        <v>103</v>
      </c>
      <c r="Q16" s="6" t="s">
        <v>55</v>
      </c>
      <c r="R16" s="6">
        <v>8</v>
      </c>
      <c r="S16" s="6">
        <v>2000</v>
      </c>
      <c r="T16" s="6">
        <v>9216</v>
      </c>
      <c r="U16" s="6" t="s">
        <v>114</v>
      </c>
      <c r="V16" s="6">
        <v>1</v>
      </c>
      <c r="W16" s="6"/>
      <c r="X16" s="6"/>
      <c r="Y16" s="6"/>
      <c r="Z16" s="6"/>
      <c r="AA16" s="6"/>
    </row>
    <row r="17" spans="14:27" x14ac:dyDescent="0.25">
      <c r="N17" s="6">
        <v>2</v>
      </c>
      <c r="O17" s="6" t="s">
        <v>96</v>
      </c>
      <c r="P17" s="6" t="s">
        <v>103</v>
      </c>
      <c r="Q17" s="6" t="s">
        <v>104</v>
      </c>
      <c r="R17" s="6">
        <v>6</v>
      </c>
      <c r="S17" s="6">
        <v>1750</v>
      </c>
      <c r="T17" s="6">
        <v>10000</v>
      </c>
      <c r="U17" s="6" t="s">
        <v>107</v>
      </c>
      <c r="V17" s="6">
        <v>1</v>
      </c>
      <c r="W17" s="6"/>
      <c r="X17" s="6"/>
      <c r="Y17" s="6"/>
      <c r="Z17" s="6"/>
      <c r="AA17" s="6"/>
    </row>
    <row r="18" spans="14:27" x14ac:dyDescent="0.25">
      <c r="N18" s="6">
        <v>3</v>
      </c>
      <c r="O18" s="6" t="s">
        <v>97</v>
      </c>
      <c r="P18" s="6" t="s">
        <v>103</v>
      </c>
      <c r="Q18" s="6" t="s">
        <v>93</v>
      </c>
      <c r="R18" s="6">
        <v>8</v>
      </c>
      <c r="S18" s="6">
        <v>2000</v>
      </c>
      <c r="T18" s="6">
        <v>5673</v>
      </c>
      <c r="U18" s="6" t="s">
        <v>124</v>
      </c>
      <c r="V18" s="6">
        <v>1</v>
      </c>
      <c r="W18" s="6"/>
      <c r="X18" s="6"/>
      <c r="Y18" s="6"/>
      <c r="Z18" s="6"/>
      <c r="AA18" s="6"/>
    </row>
    <row r="20" spans="14:27" x14ac:dyDescent="0.25">
      <c r="N20" s="6">
        <v>4</v>
      </c>
      <c r="O20" s="6" t="s">
        <v>98</v>
      </c>
      <c r="P20" s="6" t="s">
        <v>103</v>
      </c>
      <c r="Q20" s="6" t="s">
        <v>93</v>
      </c>
      <c r="R20" s="6">
        <v>6</v>
      </c>
      <c r="S20" s="6">
        <v>1150</v>
      </c>
      <c r="T20" s="6">
        <v>9333</v>
      </c>
      <c r="U20" s="6" t="s">
        <v>120</v>
      </c>
      <c r="V20" s="6"/>
      <c r="W20" s="6">
        <v>2</v>
      </c>
      <c r="X20" s="6"/>
      <c r="Y20" s="6"/>
      <c r="Z20" s="6"/>
      <c r="AA20" s="6"/>
    </row>
    <row r="21" spans="14:27" x14ac:dyDescent="0.25">
      <c r="N21" s="6">
        <v>5</v>
      </c>
      <c r="O21" s="6" t="s">
        <v>99</v>
      </c>
      <c r="P21" s="6" t="s">
        <v>103</v>
      </c>
      <c r="Q21" s="6" t="s">
        <v>55</v>
      </c>
      <c r="R21" s="6">
        <v>6</v>
      </c>
      <c r="S21" s="6">
        <v>2000</v>
      </c>
      <c r="T21" s="6">
        <v>9333</v>
      </c>
      <c r="U21" s="6" t="s">
        <v>110</v>
      </c>
      <c r="V21" s="6"/>
      <c r="W21" s="6"/>
      <c r="X21" s="6">
        <v>5</v>
      </c>
      <c r="Y21" s="6"/>
      <c r="Z21" s="6"/>
      <c r="AA21" s="6"/>
    </row>
    <row r="23" spans="14:27" x14ac:dyDescent="0.25">
      <c r="N23" s="6">
        <v>6</v>
      </c>
      <c r="O23" s="6" t="s">
        <v>100</v>
      </c>
      <c r="P23" s="6" t="s">
        <v>103</v>
      </c>
      <c r="Q23" s="6" t="s">
        <v>105</v>
      </c>
      <c r="R23" s="6">
        <v>10</v>
      </c>
      <c r="S23" s="6">
        <v>1200</v>
      </c>
      <c r="T23" s="6">
        <v>7.56</v>
      </c>
      <c r="U23" s="6" t="s">
        <v>108</v>
      </c>
      <c r="V23" s="6"/>
      <c r="W23" s="6"/>
      <c r="X23" s="6"/>
      <c r="Y23" s="6">
        <v>6</v>
      </c>
      <c r="Z23" s="6"/>
      <c r="AA23" s="6"/>
    </row>
    <row r="24" spans="14:27" x14ac:dyDescent="0.25">
      <c r="N24" s="6">
        <v>7</v>
      </c>
      <c r="O24" s="6" t="s">
        <v>101</v>
      </c>
      <c r="P24" s="6" t="s">
        <v>103</v>
      </c>
      <c r="Q24" s="6" t="s">
        <v>105</v>
      </c>
      <c r="R24" s="6">
        <v>27</v>
      </c>
      <c r="S24" s="6">
        <v>7800</v>
      </c>
      <c r="T24" s="6">
        <v>10</v>
      </c>
      <c r="U24" s="6" t="s">
        <v>111</v>
      </c>
      <c r="V24" s="6"/>
      <c r="W24" s="6"/>
      <c r="X24" s="6"/>
      <c r="Y24" s="6"/>
      <c r="Z24" s="6"/>
      <c r="AA24" s="6"/>
    </row>
    <row r="25" spans="14:27" x14ac:dyDescent="0.25">
      <c r="N25" s="6">
        <v>8</v>
      </c>
      <c r="O25" s="6" t="s">
        <v>102</v>
      </c>
      <c r="P25" s="6" t="s">
        <v>103</v>
      </c>
      <c r="Q25" s="6" t="s">
        <v>106</v>
      </c>
      <c r="R25" s="6">
        <v>4</v>
      </c>
      <c r="S25" s="6">
        <v>1922</v>
      </c>
      <c r="T25" s="6">
        <v>32.4</v>
      </c>
      <c r="U25" s="6" t="s">
        <v>112</v>
      </c>
      <c r="V25" s="6"/>
      <c r="W25" s="6"/>
      <c r="X25" s="6">
        <v>8</v>
      </c>
      <c r="Y25" s="6"/>
      <c r="Z25" s="6"/>
      <c r="AA25" s="6"/>
    </row>
    <row r="27" spans="14:27" x14ac:dyDescent="0.25">
      <c r="O27" s="2" t="s">
        <v>31</v>
      </c>
      <c r="P27" s="2"/>
      <c r="Q27" s="2"/>
      <c r="R27" s="2"/>
      <c r="S27" s="2"/>
      <c r="T27" s="2"/>
      <c r="U27" s="2"/>
      <c r="V27" s="2">
        <v>27</v>
      </c>
      <c r="W27" s="2">
        <v>10</v>
      </c>
      <c r="X27" s="2">
        <v>5</v>
      </c>
      <c r="Y27" s="2">
        <v>6</v>
      </c>
      <c r="Z27" s="2"/>
      <c r="AA27" s="2"/>
    </row>
    <row r="32" spans="14:27" x14ac:dyDescent="0.25">
      <c r="N32" t="s">
        <v>37</v>
      </c>
      <c r="O32" t="s">
        <v>38</v>
      </c>
      <c r="P32" t="s">
        <v>39</v>
      </c>
      <c r="Q32" t="s">
        <v>40</v>
      </c>
      <c r="R32" t="s">
        <v>41</v>
      </c>
      <c r="S32" t="s">
        <v>42</v>
      </c>
      <c r="T32" t="s">
        <v>43</v>
      </c>
      <c r="U32" t="s">
        <v>44</v>
      </c>
      <c r="V32" t="s">
        <v>45</v>
      </c>
    </row>
    <row r="33" spans="14:28" x14ac:dyDescent="0.25">
      <c r="N33">
        <v>1</v>
      </c>
      <c r="O33">
        <v>15712345678</v>
      </c>
      <c r="P33" t="s">
        <v>103</v>
      </c>
      <c r="Q33" t="s">
        <v>55</v>
      </c>
      <c r="R33">
        <v>8</v>
      </c>
      <c r="S33" t="s">
        <v>137</v>
      </c>
      <c r="T33">
        <v>8</v>
      </c>
      <c r="U33">
        <v>2000</v>
      </c>
      <c r="V33" t="s">
        <v>114</v>
      </c>
      <c r="W33" t="s">
        <v>138</v>
      </c>
      <c r="X33" t="s">
        <v>139</v>
      </c>
    </row>
    <row r="34" spans="14:28" x14ac:dyDescent="0.25">
      <c r="N34">
        <v>2</v>
      </c>
      <c r="O34">
        <v>74912345678</v>
      </c>
      <c r="P34" t="s">
        <v>103</v>
      </c>
      <c r="Q34" t="s">
        <v>104</v>
      </c>
      <c r="R34">
        <v>6</v>
      </c>
      <c r="S34" t="s">
        <v>137</v>
      </c>
      <c r="T34">
        <v>6</v>
      </c>
      <c r="U34">
        <v>1750</v>
      </c>
      <c r="V34" t="s">
        <v>107</v>
      </c>
      <c r="W34" t="s">
        <v>138</v>
      </c>
      <c r="X34" t="s">
        <v>139</v>
      </c>
    </row>
    <row r="35" spans="14:28" x14ac:dyDescent="0.25">
      <c r="N35">
        <v>3</v>
      </c>
      <c r="O35">
        <v>36712345678</v>
      </c>
      <c r="P35" t="s">
        <v>103</v>
      </c>
      <c r="Q35" t="s">
        <v>93</v>
      </c>
      <c r="R35">
        <v>8</v>
      </c>
      <c r="S35" t="s">
        <v>137</v>
      </c>
      <c r="T35">
        <v>8</v>
      </c>
      <c r="U35">
        <v>2000</v>
      </c>
      <c r="V35" t="s">
        <v>124</v>
      </c>
      <c r="W35" t="s">
        <v>138</v>
      </c>
      <c r="X35" t="s">
        <v>139</v>
      </c>
    </row>
    <row r="36" spans="14:28" x14ac:dyDescent="0.25">
      <c r="N36">
        <v>4</v>
      </c>
      <c r="O36">
        <v>15798765431</v>
      </c>
      <c r="P36" t="s">
        <v>103</v>
      </c>
      <c r="Q36" t="s">
        <v>93</v>
      </c>
      <c r="R36">
        <v>6</v>
      </c>
      <c r="S36" t="s">
        <v>137</v>
      </c>
      <c r="T36">
        <v>6</v>
      </c>
      <c r="U36">
        <v>1150</v>
      </c>
      <c r="V36" t="s">
        <v>120</v>
      </c>
      <c r="W36" t="s">
        <v>138</v>
      </c>
      <c r="X36" t="s">
        <v>139</v>
      </c>
    </row>
    <row r="37" spans="14:28" x14ac:dyDescent="0.25">
      <c r="N37">
        <v>5</v>
      </c>
      <c r="O37">
        <v>74998765432</v>
      </c>
      <c r="P37" t="s">
        <v>103</v>
      </c>
      <c r="Q37" t="s">
        <v>55</v>
      </c>
      <c r="R37">
        <v>6</v>
      </c>
      <c r="S37" t="s">
        <v>137</v>
      </c>
      <c r="T37">
        <v>6</v>
      </c>
      <c r="U37">
        <v>2000</v>
      </c>
      <c r="V37" t="s">
        <v>110</v>
      </c>
      <c r="W37" t="s">
        <v>138</v>
      </c>
      <c r="X37" t="s">
        <v>139</v>
      </c>
    </row>
    <row r="38" spans="14:28" x14ac:dyDescent="0.25">
      <c r="N38">
        <v>6</v>
      </c>
      <c r="O38">
        <v>36798765432</v>
      </c>
      <c r="P38" t="s">
        <v>103</v>
      </c>
      <c r="Q38" t="s">
        <v>105</v>
      </c>
      <c r="R38">
        <v>10</v>
      </c>
      <c r="S38" t="s">
        <v>137</v>
      </c>
      <c r="T38">
        <v>10</v>
      </c>
      <c r="U38">
        <v>1200</v>
      </c>
      <c r="V38" t="s">
        <v>108</v>
      </c>
      <c r="W38" t="s">
        <v>138</v>
      </c>
      <c r="X38" t="s">
        <v>139</v>
      </c>
    </row>
    <row r="39" spans="14:28" x14ac:dyDescent="0.25">
      <c r="N39">
        <v>7</v>
      </c>
      <c r="O39">
        <v>15745637891</v>
      </c>
      <c r="P39" t="s">
        <v>103</v>
      </c>
      <c r="Q39" t="s">
        <v>105</v>
      </c>
      <c r="R39">
        <v>27</v>
      </c>
      <c r="S39" t="s">
        <v>137</v>
      </c>
      <c r="T39">
        <v>27</v>
      </c>
      <c r="U39">
        <v>7800</v>
      </c>
      <c r="V39" t="s">
        <v>111</v>
      </c>
      <c r="W39" t="s">
        <v>138</v>
      </c>
      <c r="X39" t="s">
        <v>139</v>
      </c>
    </row>
    <row r="40" spans="14:28" x14ac:dyDescent="0.25">
      <c r="N40">
        <v>8</v>
      </c>
      <c r="O40">
        <v>15735798642</v>
      </c>
      <c r="P40" t="s">
        <v>103</v>
      </c>
      <c r="Q40" t="s">
        <v>106</v>
      </c>
      <c r="R40">
        <v>4</v>
      </c>
      <c r="S40" t="s">
        <v>137</v>
      </c>
      <c r="T40">
        <v>4</v>
      </c>
      <c r="U40">
        <v>1922</v>
      </c>
      <c r="V40" t="s">
        <v>112</v>
      </c>
      <c r="W40" t="s">
        <v>138</v>
      </c>
      <c r="X40" t="s">
        <v>139</v>
      </c>
    </row>
    <row r="44" spans="14:28" x14ac:dyDescent="0.25">
      <c r="N44" t="s">
        <v>56</v>
      </c>
      <c r="O44" t="s">
        <v>57</v>
      </c>
      <c r="P44" t="s">
        <v>58</v>
      </c>
      <c r="Q44" t="s">
        <v>59</v>
      </c>
      <c r="R44" t="s">
        <v>60</v>
      </c>
      <c r="S44" t="s">
        <v>61</v>
      </c>
      <c r="T44" t="s">
        <v>62</v>
      </c>
      <c r="U44" t="s">
        <v>63</v>
      </c>
      <c r="V44" t="s">
        <v>64</v>
      </c>
      <c r="W44" t="s">
        <v>65</v>
      </c>
      <c r="X44" s="3" t="s">
        <v>66</v>
      </c>
      <c r="Y44" t="s">
        <v>68</v>
      </c>
      <c r="Z44" t="s">
        <v>67</v>
      </c>
      <c r="AA44" t="s">
        <v>69</v>
      </c>
      <c r="AB44" t="s">
        <v>70</v>
      </c>
    </row>
    <row r="45" spans="14:28" x14ac:dyDescent="0.25">
      <c r="N45" s="25" t="s">
        <v>71</v>
      </c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</row>
    <row r="46" spans="14:28" x14ac:dyDescent="0.25">
      <c r="N46">
        <v>1</v>
      </c>
      <c r="O46" t="s">
        <v>151</v>
      </c>
      <c r="P46">
        <v>77849</v>
      </c>
      <c r="Q46" t="s">
        <v>152</v>
      </c>
      <c r="R46" t="s">
        <v>103</v>
      </c>
      <c r="S46" t="s">
        <v>82</v>
      </c>
      <c r="T46">
        <v>79</v>
      </c>
      <c r="U46">
        <v>2401</v>
      </c>
      <c r="V46">
        <v>0</v>
      </c>
      <c r="W46" s="15">
        <v>1</v>
      </c>
      <c r="X46" t="s">
        <v>159</v>
      </c>
      <c r="Y46" t="s">
        <v>153</v>
      </c>
      <c r="Z46">
        <v>0</v>
      </c>
      <c r="AA46" t="s">
        <v>154</v>
      </c>
    </row>
    <row r="47" spans="14:28" x14ac:dyDescent="0.25">
      <c r="N47">
        <v>2</v>
      </c>
      <c r="O47" t="s">
        <v>151</v>
      </c>
      <c r="P47">
        <v>37381</v>
      </c>
      <c r="Q47" t="s">
        <v>152</v>
      </c>
      <c r="R47" t="s">
        <v>103</v>
      </c>
      <c r="S47" t="s">
        <v>82</v>
      </c>
      <c r="T47">
        <v>149</v>
      </c>
      <c r="U47">
        <v>2382</v>
      </c>
      <c r="V47">
        <v>0</v>
      </c>
      <c r="W47" s="15">
        <v>1</v>
      </c>
      <c r="X47" t="s">
        <v>159</v>
      </c>
      <c r="Y47" t="s">
        <v>153</v>
      </c>
      <c r="Z47">
        <v>0</v>
      </c>
      <c r="AA47" t="s">
        <v>154</v>
      </c>
    </row>
    <row r="48" spans="14:28" x14ac:dyDescent="0.25">
      <c r="N48">
        <v>3</v>
      </c>
      <c r="O48" t="s">
        <v>151</v>
      </c>
      <c r="P48">
        <v>72090</v>
      </c>
      <c r="Q48" t="s">
        <v>152</v>
      </c>
      <c r="R48" t="s">
        <v>103</v>
      </c>
      <c r="S48" t="s">
        <v>82</v>
      </c>
      <c r="T48">
        <v>105</v>
      </c>
      <c r="U48">
        <v>1218</v>
      </c>
      <c r="V48">
        <v>0</v>
      </c>
      <c r="W48" s="15">
        <v>1</v>
      </c>
      <c r="X48" t="s">
        <v>159</v>
      </c>
      <c r="Y48" t="s">
        <v>153</v>
      </c>
      <c r="Z48">
        <v>0</v>
      </c>
      <c r="AA48" t="s">
        <v>154</v>
      </c>
    </row>
    <row r="49" spans="14:27" x14ac:dyDescent="0.25">
      <c r="N49">
        <v>4</v>
      </c>
      <c r="O49" t="s">
        <v>151</v>
      </c>
      <c r="P49">
        <v>22821</v>
      </c>
      <c r="Q49" t="s">
        <v>152</v>
      </c>
      <c r="R49" t="s">
        <v>103</v>
      </c>
      <c r="S49" t="s">
        <v>82</v>
      </c>
      <c r="T49">
        <v>38</v>
      </c>
      <c r="U49">
        <v>1620</v>
      </c>
      <c r="V49">
        <v>0</v>
      </c>
      <c r="W49" s="15">
        <v>1</v>
      </c>
      <c r="X49" t="s">
        <v>161</v>
      </c>
      <c r="Y49" t="s">
        <v>153</v>
      </c>
      <c r="Z49">
        <v>0</v>
      </c>
      <c r="AA49" t="s">
        <v>154</v>
      </c>
    </row>
    <row r="50" spans="14:27" x14ac:dyDescent="0.25">
      <c r="N50">
        <v>5</v>
      </c>
      <c r="O50" t="s">
        <v>151</v>
      </c>
      <c r="P50">
        <v>54261</v>
      </c>
      <c r="Q50" t="s">
        <v>152</v>
      </c>
      <c r="R50" t="s">
        <v>103</v>
      </c>
      <c r="S50" t="s">
        <v>82</v>
      </c>
      <c r="T50">
        <v>48</v>
      </c>
      <c r="U50">
        <v>1303</v>
      </c>
      <c r="V50">
        <v>0</v>
      </c>
      <c r="W50" s="15">
        <v>1</v>
      </c>
      <c r="X50" t="s">
        <v>161</v>
      </c>
      <c r="Y50" t="s">
        <v>153</v>
      </c>
      <c r="Z50">
        <v>0</v>
      </c>
      <c r="AA50" t="s">
        <v>154</v>
      </c>
    </row>
    <row r="51" spans="14:27" x14ac:dyDescent="0.25">
      <c r="N51">
        <v>6</v>
      </c>
      <c r="O51" t="s">
        <v>151</v>
      </c>
      <c r="P51">
        <v>19240</v>
      </c>
      <c r="Q51" t="s">
        <v>152</v>
      </c>
      <c r="R51" t="s">
        <v>103</v>
      </c>
      <c r="S51" t="s">
        <v>82</v>
      </c>
      <c r="T51">
        <v>140</v>
      </c>
      <c r="U51">
        <v>2133</v>
      </c>
      <c r="V51">
        <v>0</v>
      </c>
      <c r="W51" s="15">
        <v>1</v>
      </c>
      <c r="X51" t="s">
        <v>160</v>
      </c>
      <c r="Y51" t="s">
        <v>153</v>
      </c>
      <c r="Z51">
        <v>0</v>
      </c>
      <c r="AA51" t="s">
        <v>154</v>
      </c>
    </row>
    <row r="52" spans="14:27" x14ac:dyDescent="0.25">
      <c r="N52">
        <v>7</v>
      </c>
      <c r="O52" t="s">
        <v>151</v>
      </c>
      <c r="P52">
        <v>20108</v>
      </c>
      <c r="Q52" t="s">
        <v>152</v>
      </c>
      <c r="R52" t="s">
        <v>103</v>
      </c>
      <c r="S52" t="s">
        <v>82</v>
      </c>
      <c r="T52">
        <v>113</v>
      </c>
      <c r="U52">
        <v>1022</v>
      </c>
      <c r="V52">
        <v>0</v>
      </c>
      <c r="W52" s="15">
        <v>1</v>
      </c>
      <c r="X52" t="s">
        <v>161</v>
      </c>
      <c r="Y52" t="s">
        <v>153</v>
      </c>
      <c r="Z52">
        <v>0</v>
      </c>
      <c r="AA52" t="s">
        <v>154</v>
      </c>
    </row>
    <row r="53" spans="14:27" x14ac:dyDescent="0.25">
      <c r="N53">
        <v>8</v>
      </c>
      <c r="O53" t="s">
        <v>151</v>
      </c>
      <c r="P53">
        <v>47022</v>
      </c>
      <c r="Q53" t="s">
        <v>152</v>
      </c>
      <c r="R53" t="s">
        <v>103</v>
      </c>
      <c r="S53" t="s">
        <v>82</v>
      </c>
      <c r="T53">
        <v>27</v>
      </c>
      <c r="U53">
        <v>1180</v>
      </c>
      <c r="V53">
        <v>0</v>
      </c>
      <c r="W53" s="15">
        <v>1</v>
      </c>
      <c r="X53" t="s">
        <v>160</v>
      </c>
      <c r="Y53" t="s">
        <v>153</v>
      </c>
      <c r="Z53">
        <v>0</v>
      </c>
      <c r="AA53" t="s">
        <v>154</v>
      </c>
    </row>
    <row r="54" spans="14:27" x14ac:dyDescent="0.25">
      <c r="N54">
        <v>9</v>
      </c>
      <c r="O54" t="s">
        <v>151</v>
      </c>
      <c r="P54">
        <v>17854</v>
      </c>
      <c r="Q54" t="s">
        <v>152</v>
      </c>
      <c r="R54" t="s">
        <v>103</v>
      </c>
      <c r="S54" t="s">
        <v>82</v>
      </c>
      <c r="T54">
        <v>107</v>
      </c>
      <c r="U54">
        <v>1593</v>
      </c>
      <c r="V54">
        <v>0</v>
      </c>
      <c r="W54" s="15">
        <v>1</v>
      </c>
      <c r="X54" t="s">
        <v>160</v>
      </c>
      <c r="Y54" t="s">
        <v>153</v>
      </c>
      <c r="Z54">
        <v>0</v>
      </c>
      <c r="AA54" t="s">
        <v>154</v>
      </c>
    </row>
    <row r="55" spans="14:27" x14ac:dyDescent="0.25">
      <c r="N55">
        <v>10</v>
      </c>
      <c r="O55" t="s">
        <v>151</v>
      </c>
      <c r="P55">
        <v>61730</v>
      </c>
      <c r="Q55" t="s">
        <v>152</v>
      </c>
      <c r="R55" t="s">
        <v>103</v>
      </c>
      <c r="S55" t="s">
        <v>82</v>
      </c>
      <c r="T55">
        <v>86</v>
      </c>
      <c r="U55">
        <v>1848</v>
      </c>
      <c r="V55">
        <v>0</v>
      </c>
      <c r="W55" s="15">
        <v>1</v>
      </c>
      <c r="X55" t="s">
        <v>161</v>
      </c>
      <c r="Y55" t="s">
        <v>153</v>
      </c>
      <c r="Z55">
        <v>0</v>
      </c>
      <c r="AA55" t="s">
        <v>154</v>
      </c>
    </row>
    <row r="56" spans="14:27" x14ac:dyDescent="0.25">
      <c r="N56">
        <v>11</v>
      </c>
      <c r="O56" t="s">
        <v>151</v>
      </c>
      <c r="P56">
        <v>17737</v>
      </c>
      <c r="Q56" t="s">
        <v>152</v>
      </c>
      <c r="R56" t="s">
        <v>103</v>
      </c>
      <c r="S56" t="s">
        <v>82</v>
      </c>
      <c r="T56">
        <v>22</v>
      </c>
      <c r="U56">
        <v>3323</v>
      </c>
      <c r="V56">
        <v>0</v>
      </c>
      <c r="W56" s="15">
        <v>1</v>
      </c>
      <c r="X56" t="s">
        <v>161</v>
      </c>
      <c r="Y56" t="s">
        <v>153</v>
      </c>
      <c r="Z56">
        <v>0</v>
      </c>
      <c r="AA56" t="s">
        <v>154</v>
      </c>
    </row>
    <row r="57" spans="14:27" x14ac:dyDescent="0.25">
      <c r="N57">
        <v>12</v>
      </c>
      <c r="O57" t="s">
        <v>151</v>
      </c>
      <c r="P57">
        <v>11618</v>
      </c>
      <c r="Q57" t="s">
        <v>152</v>
      </c>
      <c r="R57" t="s">
        <v>103</v>
      </c>
      <c r="S57" t="s">
        <v>82</v>
      </c>
      <c r="T57">
        <v>131</v>
      </c>
      <c r="U57">
        <v>2498</v>
      </c>
      <c r="V57">
        <v>0</v>
      </c>
      <c r="W57" s="15">
        <v>1</v>
      </c>
      <c r="X57" t="s">
        <v>161</v>
      </c>
      <c r="Y57" t="s">
        <v>153</v>
      </c>
      <c r="Z57">
        <v>0</v>
      </c>
      <c r="AA57" t="s">
        <v>154</v>
      </c>
    </row>
    <row r="58" spans="14:27" x14ac:dyDescent="0.25">
      <c r="N58">
        <v>13</v>
      </c>
      <c r="O58" t="s">
        <v>151</v>
      </c>
      <c r="P58">
        <v>37052</v>
      </c>
      <c r="Q58" t="s">
        <v>152</v>
      </c>
      <c r="R58" t="s">
        <v>103</v>
      </c>
      <c r="S58" t="s">
        <v>82</v>
      </c>
      <c r="T58">
        <v>49</v>
      </c>
      <c r="U58">
        <v>2326</v>
      </c>
      <c r="V58">
        <v>0</v>
      </c>
      <c r="W58" s="15">
        <v>1</v>
      </c>
      <c r="X58" t="s">
        <v>161</v>
      </c>
      <c r="Y58" t="s">
        <v>153</v>
      </c>
      <c r="Z58">
        <v>0</v>
      </c>
      <c r="AA58" t="s">
        <v>154</v>
      </c>
    </row>
    <row r="59" spans="14:27" x14ac:dyDescent="0.25">
      <c r="N59">
        <v>14</v>
      </c>
      <c r="O59" t="s">
        <v>151</v>
      </c>
      <c r="P59">
        <v>28309</v>
      </c>
      <c r="Q59" t="s">
        <v>152</v>
      </c>
      <c r="R59" t="s">
        <v>103</v>
      </c>
      <c r="S59" t="s">
        <v>82</v>
      </c>
      <c r="T59">
        <v>86</v>
      </c>
      <c r="U59">
        <v>1986</v>
      </c>
      <c r="V59">
        <v>0</v>
      </c>
      <c r="W59" s="15">
        <v>1</v>
      </c>
      <c r="X59" t="s">
        <v>161</v>
      </c>
      <c r="Y59" t="s">
        <v>153</v>
      </c>
      <c r="Z59">
        <v>0</v>
      </c>
      <c r="AA59" t="s">
        <v>154</v>
      </c>
    </row>
    <row r="60" spans="14:27" x14ac:dyDescent="0.25">
      <c r="N60">
        <v>15</v>
      </c>
      <c r="O60" t="s">
        <v>151</v>
      </c>
      <c r="P60">
        <v>54078</v>
      </c>
      <c r="Q60" t="s">
        <v>152</v>
      </c>
      <c r="R60" t="s">
        <v>103</v>
      </c>
      <c r="S60" t="s">
        <v>82</v>
      </c>
      <c r="T60">
        <v>101</v>
      </c>
      <c r="U60">
        <v>2739</v>
      </c>
      <c r="V60">
        <v>0</v>
      </c>
      <c r="W60" s="15">
        <v>1</v>
      </c>
      <c r="X60" t="s">
        <v>161</v>
      </c>
      <c r="Y60" t="s">
        <v>153</v>
      </c>
      <c r="Z60">
        <v>0</v>
      </c>
      <c r="AA60" t="s">
        <v>154</v>
      </c>
    </row>
    <row r="61" spans="14:27" x14ac:dyDescent="0.25">
      <c r="N61">
        <v>16</v>
      </c>
      <c r="O61" t="s">
        <v>151</v>
      </c>
      <c r="P61">
        <v>68601</v>
      </c>
      <c r="Q61" t="s">
        <v>152</v>
      </c>
      <c r="R61" t="s">
        <v>103</v>
      </c>
      <c r="S61" t="s">
        <v>82</v>
      </c>
      <c r="T61">
        <v>144</v>
      </c>
      <c r="U61">
        <v>3055</v>
      </c>
      <c r="V61">
        <v>0</v>
      </c>
      <c r="W61" s="15">
        <v>1</v>
      </c>
      <c r="X61" t="s">
        <v>161</v>
      </c>
      <c r="Y61" t="s">
        <v>153</v>
      </c>
      <c r="Z61">
        <v>0</v>
      </c>
      <c r="AA61" t="s">
        <v>154</v>
      </c>
    </row>
    <row r="62" spans="14:27" x14ac:dyDescent="0.25">
      <c r="N62">
        <v>17</v>
      </c>
      <c r="O62" t="s">
        <v>151</v>
      </c>
      <c r="P62">
        <v>56739</v>
      </c>
      <c r="Q62" t="s">
        <v>152</v>
      </c>
      <c r="R62" t="s">
        <v>103</v>
      </c>
      <c r="S62" t="s">
        <v>82</v>
      </c>
      <c r="T62">
        <v>90</v>
      </c>
      <c r="U62">
        <v>1733</v>
      </c>
      <c r="V62">
        <v>0</v>
      </c>
      <c r="W62" s="15">
        <v>1</v>
      </c>
      <c r="X62" t="s">
        <v>161</v>
      </c>
      <c r="Y62" t="s">
        <v>153</v>
      </c>
      <c r="Z62">
        <v>0</v>
      </c>
      <c r="AA62" t="s">
        <v>154</v>
      </c>
    </row>
    <row r="63" spans="14:27" x14ac:dyDescent="0.25">
      <c r="N63">
        <v>18</v>
      </c>
      <c r="O63" t="s">
        <v>151</v>
      </c>
      <c r="P63">
        <v>44006</v>
      </c>
      <c r="Q63" t="s">
        <v>152</v>
      </c>
      <c r="R63" t="s">
        <v>103</v>
      </c>
      <c r="S63" t="s">
        <v>82</v>
      </c>
      <c r="T63">
        <v>31</v>
      </c>
      <c r="U63">
        <v>2216</v>
      </c>
      <c r="V63">
        <v>0</v>
      </c>
      <c r="W63" s="15">
        <v>1</v>
      </c>
      <c r="X63" t="s">
        <v>161</v>
      </c>
      <c r="Y63" t="s">
        <v>153</v>
      </c>
      <c r="Z63">
        <v>0</v>
      </c>
      <c r="AA63" t="s">
        <v>154</v>
      </c>
    </row>
    <row r="64" spans="14:27" x14ac:dyDescent="0.25">
      <c r="N64">
        <v>19</v>
      </c>
      <c r="O64" t="s">
        <v>151</v>
      </c>
      <c r="P64">
        <v>76974</v>
      </c>
      <c r="Q64" t="s">
        <v>152</v>
      </c>
      <c r="R64" t="s">
        <v>103</v>
      </c>
      <c r="S64" t="s">
        <v>82</v>
      </c>
      <c r="T64">
        <v>82</v>
      </c>
      <c r="U64">
        <v>1431</v>
      </c>
      <c r="V64">
        <v>0</v>
      </c>
      <c r="W64" s="15">
        <v>1</v>
      </c>
      <c r="X64" t="s">
        <v>161</v>
      </c>
      <c r="Y64" t="s">
        <v>153</v>
      </c>
      <c r="Z64">
        <v>0</v>
      </c>
      <c r="AA64" t="s">
        <v>154</v>
      </c>
    </row>
    <row r="65" spans="14:28" x14ac:dyDescent="0.25">
      <c r="N65">
        <v>20</v>
      </c>
      <c r="O65" t="s">
        <v>151</v>
      </c>
      <c r="P65">
        <v>36893</v>
      </c>
      <c r="Q65" t="s">
        <v>152</v>
      </c>
      <c r="R65" t="s">
        <v>103</v>
      </c>
      <c r="S65" t="s">
        <v>82</v>
      </c>
      <c r="T65">
        <v>118</v>
      </c>
      <c r="U65">
        <v>1027</v>
      </c>
      <c r="V65">
        <v>0</v>
      </c>
      <c r="W65" s="15">
        <v>1</v>
      </c>
      <c r="X65" t="s">
        <v>161</v>
      </c>
      <c r="Y65" t="s">
        <v>153</v>
      </c>
      <c r="Z65">
        <v>0</v>
      </c>
      <c r="AA65" t="s">
        <v>154</v>
      </c>
    </row>
    <row r="66" spans="14:28" x14ac:dyDescent="0.25">
      <c r="N66">
        <v>21</v>
      </c>
      <c r="O66" t="s">
        <v>151</v>
      </c>
      <c r="P66">
        <v>72387</v>
      </c>
      <c r="Q66" t="s">
        <v>152</v>
      </c>
      <c r="R66" t="s">
        <v>103</v>
      </c>
      <c r="S66" t="s">
        <v>82</v>
      </c>
      <c r="T66">
        <v>127</v>
      </c>
      <c r="U66">
        <v>1117</v>
      </c>
      <c r="V66">
        <v>0</v>
      </c>
      <c r="W66" s="15">
        <v>1</v>
      </c>
      <c r="X66" t="s">
        <v>161</v>
      </c>
      <c r="Y66" t="s">
        <v>153</v>
      </c>
      <c r="Z66">
        <v>0</v>
      </c>
      <c r="AA66" t="s">
        <v>154</v>
      </c>
    </row>
    <row r="67" spans="14:28" x14ac:dyDescent="0.25">
      <c r="N67">
        <v>22</v>
      </c>
      <c r="O67" t="s">
        <v>151</v>
      </c>
      <c r="P67">
        <v>59146</v>
      </c>
      <c r="Q67" t="s">
        <v>152</v>
      </c>
      <c r="R67" t="s">
        <v>103</v>
      </c>
      <c r="S67" t="s">
        <v>82</v>
      </c>
      <c r="T67">
        <v>103</v>
      </c>
      <c r="U67">
        <v>2271</v>
      </c>
      <c r="V67">
        <v>0</v>
      </c>
      <c r="W67" s="15">
        <v>1</v>
      </c>
      <c r="X67" t="s">
        <v>161</v>
      </c>
      <c r="Y67" t="s">
        <v>153</v>
      </c>
      <c r="Z67">
        <v>0</v>
      </c>
      <c r="AA67" t="s">
        <v>154</v>
      </c>
    </row>
    <row r="68" spans="14:28" x14ac:dyDescent="0.25">
      <c r="N68">
        <v>23</v>
      </c>
      <c r="O68" t="s">
        <v>151</v>
      </c>
      <c r="P68">
        <v>28818</v>
      </c>
      <c r="Q68" t="s">
        <v>152</v>
      </c>
      <c r="R68" t="s">
        <v>103</v>
      </c>
      <c r="S68" t="s">
        <v>82</v>
      </c>
      <c r="T68">
        <v>146</v>
      </c>
      <c r="U68">
        <v>1881</v>
      </c>
      <c r="V68">
        <v>0</v>
      </c>
      <c r="W68" s="15">
        <v>1</v>
      </c>
      <c r="X68" t="s">
        <v>161</v>
      </c>
      <c r="Y68" t="s">
        <v>153</v>
      </c>
      <c r="Z68">
        <v>0</v>
      </c>
      <c r="AA68" t="s">
        <v>154</v>
      </c>
    </row>
    <row r="69" spans="14:28" x14ac:dyDescent="0.25">
      <c r="N69">
        <v>24</v>
      </c>
      <c r="O69" t="s">
        <v>151</v>
      </c>
      <c r="P69">
        <v>12082</v>
      </c>
      <c r="Q69" t="s">
        <v>152</v>
      </c>
      <c r="R69" t="s">
        <v>103</v>
      </c>
      <c r="S69" t="s">
        <v>82</v>
      </c>
      <c r="T69">
        <v>78</v>
      </c>
      <c r="U69">
        <v>2455</v>
      </c>
      <c r="V69">
        <v>0</v>
      </c>
      <c r="W69" s="15">
        <v>1</v>
      </c>
      <c r="X69" t="s">
        <v>161</v>
      </c>
      <c r="Y69" t="s">
        <v>153</v>
      </c>
      <c r="Z69">
        <v>0</v>
      </c>
      <c r="AA69" t="s">
        <v>154</v>
      </c>
    </row>
    <row r="70" spans="14:28" x14ac:dyDescent="0.25">
      <c r="N70">
        <v>25</v>
      </c>
      <c r="O70" t="s">
        <v>151</v>
      </c>
      <c r="P70">
        <v>52931</v>
      </c>
      <c r="Q70" t="s">
        <v>152</v>
      </c>
      <c r="R70" t="s">
        <v>103</v>
      </c>
      <c r="S70" t="s">
        <v>82</v>
      </c>
      <c r="T70">
        <v>88</v>
      </c>
      <c r="U70">
        <v>1548</v>
      </c>
      <c r="V70">
        <v>0</v>
      </c>
      <c r="W70" s="15">
        <v>1</v>
      </c>
      <c r="X70" t="s">
        <v>161</v>
      </c>
      <c r="Y70" t="s">
        <v>153</v>
      </c>
      <c r="Z70">
        <v>0</v>
      </c>
      <c r="AA70" t="s">
        <v>154</v>
      </c>
    </row>
    <row r="71" spans="14:28" x14ac:dyDescent="0.25">
      <c r="N71">
        <v>26</v>
      </c>
      <c r="O71" t="s">
        <v>151</v>
      </c>
      <c r="P71">
        <v>72404</v>
      </c>
      <c r="Q71" t="s">
        <v>152</v>
      </c>
      <c r="R71" t="s">
        <v>103</v>
      </c>
      <c r="S71" t="s">
        <v>82</v>
      </c>
      <c r="T71">
        <v>124</v>
      </c>
      <c r="U71">
        <v>2894</v>
      </c>
      <c r="V71">
        <v>0</v>
      </c>
      <c r="W71" s="15">
        <v>1</v>
      </c>
      <c r="X71" t="s">
        <v>161</v>
      </c>
      <c r="Y71" t="s">
        <v>153</v>
      </c>
      <c r="Z71">
        <v>0</v>
      </c>
      <c r="AA71" t="s">
        <v>154</v>
      </c>
    </row>
    <row r="72" spans="14:28" x14ac:dyDescent="0.25">
      <c r="N72">
        <v>27</v>
      </c>
      <c r="O72" t="s">
        <v>151</v>
      </c>
      <c r="P72">
        <v>49029</v>
      </c>
      <c r="Q72" t="s">
        <v>152</v>
      </c>
      <c r="R72" t="s">
        <v>103</v>
      </c>
      <c r="S72" t="s">
        <v>82</v>
      </c>
      <c r="T72">
        <v>92</v>
      </c>
      <c r="U72">
        <v>3621</v>
      </c>
      <c r="V72">
        <v>0</v>
      </c>
      <c r="W72" s="15">
        <v>1</v>
      </c>
      <c r="X72" t="s">
        <v>161</v>
      </c>
      <c r="Y72" t="s">
        <v>153</v>
      </c>
      <c r="Z72">
        <v>0</v>
      </c>
      <c r="AA72" t="s">
        <v>154</v>
      </c>
    </row>
    <row r="73" spans="14:28" x14ac:dyDescent="0.25">
      <c r="N73" s="25" t="s">
        <v>72</v>
      </c>
      <c r="O73" s="25"/>
      <c r="P73" s="25"/>
      <c r="Q73" s="25"/>
      <c r="R73" s="25"/>
      <c r="S73" s="25"/>
      <c r="T73" s="25"/>
      <c r="U73" s="25"/>
      <c r="V73" s="25"/>
      <c r="W73" s="25"/>
      <c r="X73" s="25"/>
      <c r="Y73" s="25"/>
      <c r="Z73" s="25"/>
      <c r="AA73" s="25"/>
      <c r="AB73" s="25"/>
    </row>
    <row r="74" spans="14:28" x14ac:dyDescent="0.25">
      <c r="N74">
        <v>1</v>
      </c>
      <c r="O74" t="s">
        <v>151</v>
      </c>
      <c r="P74">
        <v>76526</v>
      </c>
      <c r="Q74" t="s">
        <v>152</v>
      </c>
      <c r="R74" t="s">
        <v>103</v>
      </c>
      <c r="S74" t="s">
        <v>82</v>
      </c>
      <c r="T74">
        <v>87</v>
      </c>
      <c r="U74">
        <v>3964</v>
      </c>
      <c r="V74">
        <v>0</v>
      </c>
      <c r="W74" s="15">
        <v>1</v>
      </c>
      <c r="X74" t="s">
        <v>162</v>
      </c>
      <c r="Y74" t="s">
        <v>153</v>
      </c>
      <c r="Z74">
        <v>0</v>
      </c>
      <c r="AA74" t="s">
        <v>154</v>
      </c>
    </row>
    <row r="75" spans="14:28" x14ac:dyDescent="0.25">
      <c r="N75">
        <v>2</v>
      </c>
      <c r="O75" t="s">
        <v>151</v>
      </c>
      <c r="P75">
        <v>61863</v>
      </c>
      <c r="Q75" t="s">
        <v>152</v>
      </c>
      <c r="R75" t="s">
        <v>103</v>
      </c>
      <c r="S75" t="s">
        <v>82</v>
      </c>
      <c r="T75">
        <v>83</v>
      </c>
      <c r="U75">
        <v>3584</v>
      </c>
      <c r="V75">
        <v>0</v>
      </c>
      <c r="W75" s="15">
        <v>1</v>
      </c>
      <c r="X75" t="s">
        <v>162</v>
      </c>
      <c r="Y75" t="s">
        <v>153</v>
      </c>
      <c r="Z75">
        <v>0</v>
      </c>
      <c r="AA75" t="s">
        <v>154</v>
      </c>
    </row>
    <row r="76" spans="14:28" x14ac:dyDescent="0.25">
      <c r="N76">
        <v>3</v>
      </c>
      <c r="O76" t="s">
        <v>151</v>
      </c>
      <c r="P76">
        <v>61128</v>
      </c>
      <c r="Q76" t="s">
        <v>152</v>
      </c>
      <c r="R76" t="s">
        <v>103</v>
      </c>
      <c r="S76" t="s">
        <v>82</v>
      </c>
      <c r="T76">
        <v>87</v>
      </c>
      <c r="U76">
        <v>1615</v>
      </c>
      <c r="V76">
        <v>0</v>
      </c>
      <c r="W76" s="15">
        <v>1</v>
      </c>
      <c r="X76" t="s">
        <v>162</v>
      </c>
      <c r="Y76" t="s">
        <v>153</v>
      </c>
      <c r="Z76">
        <v>0</v>
      </c>
      <c r="AA76" t="s">
        <v>154</v>
      </c>
    </row>
    <row r="77" spans="14:28" x14ac:dyDescent="0.25">
      <c r="N77">
        <v>4</v>
      </c>
      <c r="O77" t="s">
        <v>151</v>
      </c>
      <c r="P77">
        <v>35486</v>
      </c>
      <c r="Q77" t="s">
        <v>152</v>
      </c>
      <c r="R77" t="s">
        <v>103</v>
      </c>
      <c r="S77" t="s">
        <v>82</v>
      </c>
      <c r="T77">
        <v>131</v>
      </c>
      <c r="U77">
        <v>1071</v>
      </c>
      <c r="V77">
        <v>0</v>
      </c>
      <c r="W77" s="15">
        <v>1</v>
      </c>
      <c r="X77" t="s">
        <v>163</v>
      </c>
      <c r="Y77" t="s">
        <v>153</v>
      </c>
      <c r="Z77">
        <v>0</v>
      </c>
      <c r="AA77" t="s">
        <v>154</v>
      </c>
    </row>
    <row r="78" spans="14:28" x14ac:dyDescent="0.25">
      <c r="N78">
        <v>5</v>
      </c>
      <c r="O78" t="s">
        <v>151</v>
      </c>
      <c r="P78">
        <v>49009</v>
      </c>
      <c r="Q78" t="s">
        <v>152</v>
      </c>
      <c r="R78" t="s">
        <v>103</v>
      </c>
      <c r="S78" t="s">
        <v>82</v>
      </c>
      <c r="T78">
        <v>107</v>
      </c>
      <c r="U78">
        <v>2394</v>
      </c>
      <c r="V78">
        <v>0</v>
      </c>
      <c r="W78" s="15">
        <v>1</v>
      </c>
      <c r="X78" t="s">
        <v>163</v>
      </c>
      <c r="Y78" t="s">
        <v>153</v>
      </c>
      <c r="Z78">
        <v>0</v>
      </c>
      <c r="AA78" t="s">
        <v>154</v>
      </c>
    </row>
    <row r="79" spans="14:28" x14ac:dyDescent="0.25">
      <c r="N79">
        <v>6</v>
      </c>
      <c r="O79" t="s">
        <v>151</v>
      </c>
      <c r="P79">
        <v>67938</v>
      </c>
      <c r="Q79" t="s">
        <v>152</v>
      </c>
      <c r="R79" t="s">
        <v>103</v>
      </c>
      <c r="S79" t="s">
        <v>82</v>
      </c>
      <c r="T79">
        <v>12</v>
      </c>
      <c r="U79">
        <v>1569</v>
      </c>
      <c r="V79">
        <v>0</v>
      </c>
      <c r="W79" s="15">
        <v>1</v>
      </c>
      <c r="X79" t="s">
        <v>163</v>
      </c>
      <c r="Y79" t="s">
        <v>153</v>
      </c>
      <c r="Z79">
        <v>0</v>
      </c>
      <c r="AA79" t="s">
        <v>154</v>
      </c>
    </row>
    <row r="80" spans="14:28" x14ac:dyDescent="0.25">
      <c r="N80">
        <v>7</v>
      </c>
      <c r="O80" t="s">
        <v>151</v>
      </c>
      <c r="P80">
        <v>25963</v>
      </c>
      <c r="Q80" t="s">
        <v>152</v>
      </c>
      <c r="R80" t="s">
        <v>103</v>
      </c>
      <c r="S80" t="s">
        <v>82</v>
      </c>
      <c r="T80">
        <v>100</v>
      </c>
      <c r="U80">
        <v>2060</v>
      </c>
      <c r="V80">
        <v>0</v>
      </c>
      <c r="W80" s="15">
        <v>1</v>
      </c>
      <c r="X80" t="s">
        <v>163</v>
      </c>
      <c r="Y80" t="s">
        <v>153</v>
      </c>
      <c r="Z80">
        <v>0</v>
      </c>
      <c r="AA80" t="s">
        <v>154</v>
      </c>
    </row>
    <row r="81" spans="14:28" x14ac:dyDescent="0.25">
      <c r="N81">
        <v>8</v>
      </c>
      <c r="O81" t="s">
        <v>151</v>
      </c>
      <c r="P81">
        <v>61004</v>
      </c>
      <c r="Q81" t="s">
        <v>152</v>
      </c>
      <c r="R81" t="s">
        <v>103</v>
      </c>
      <c r="S81" t="s">
        <v>82</v>
      </c>
      <c r="T81">
        <v>115</v>
      </c>
      <c r="U81">
        <v>1347</v>
      </c>
      <c r="V81">
        <v>0</v>
      </c>
      <c r="W81" s="15">
        <v>1</v>
      </c>
      <c r="X81" t="s">
        <v>162</v>
      </c>
      <c r="Y81" t="s">
        <v>153</v>
      </c>
      <c r="Z81">
        <v>0</v>
      </c>
      <c r="AA81" t="s">
        <v>154</v>
      </c>
    </row>
    <row r="82" spans="14:28" x14ac:dyDescent="0.25">
      <c r="N82">
        <v>9</v>
      </c>
      <c r="O82" t="s">
        <v>151</v>
      </c>
      <c r="P82">
        <v>41870</v>
      </c>
      <c r="Q82" t="s">
        <v>152</v>
      </c>
      <c r="R82" t="s">
        <v>103</v>
      </c>
      <c r="S82" t="s">
        <v>82</v>
      </c>
      <c r="T82">
        <v>14</v>
      </c>
      <c r="U82">
        <v>1961</v>
      </c>
      <c r="V82">
        <v>0</v>
      </c>
      <c r="W82" s="15">
        <v>1</v>
      </c>
      <c r="X82" t="s">
        <v>162</v>
      </c>
      <c r="Y82" t="s">
        <v>153</v>
      </c>
      <c r="Z82">
        <v>0</v>
      </c>
      <c r="AA82" t="s">
        <v>154</v>
      </c>
    </row>
    <row r="83" spans="14:28" x14ac:dyDescent="0.25">
      <c r="N83">
        <v>10</v>
      </c>
      <c r="O83" t="s">
        <v>151</v>
      </c>
      <c r="P83">
        <v>15111</v>
      </c>
      <c r="Q83" t="s">
        <v>152</v>
      </c>
      <c r="R83" t="s">
        <v>103</v>
      </c>
      <c r="S83" t="s">
        <v>82</v>
      </c>
      <c r="T83">
        <v>89</v>
      </c>
      <c r="U83">
        <v>1735</v>
      </c>
      <c r="V83">
        <v>0</v>
      </c>
      <c r="W83" s="15">
        <v>1</v>
      </c>
      <c r="X83" t="s">
        <v>163</v>
      </c>
      <c r="Y83" t="s">
        <v>153</v>
      </c>
      <c r="Z83">
        <v>0</v>
      </c>
      <c r="AA83" t="s">
        <v>154</v>
      </c>
    </row>
    <row r="84" spans="14:28" x14ac:dyDescent="0.25">
      <c r="N84" s="25" t="s">
        <v>73</v>
      </c>
      <c r="O84" s="25"/>
      <c r="P84" s="25"/>
      <c r="Q84" s="25"/>
      <c r="R84" s="25"/>
      <c r="S84" s="25"/>
      <c r="T84" s="25"/>
      <c r="U84" s="25"/>
      <c r="V84" s="25"/>
      <c r="W84" s="25"/>
      <c r="X84" s="25"/>
      <c r="Y84" s="25"/>
      <c r="Z84" s="25"/>
      <c r="AA84" s="25"/>
      <c r="AB84" s="25"/>
    </row>
    <row r="85" spans="14:28" x14ac:dyDescent="0.25">
      <c r="N85">
        <v>1</v>
      </c>
      <c r="O85" t="s">
        <v>151</v>
      </c>
      <c r="P85">
        <v>23456</v>
      </c>
      <c r="Q85" t="s">
        <v>152</v>
      </c>
      <c r="R85" t="s">
        <v>103</v>
      </c>
      <c r="S85" t="s">
        <v>82</v>
      </c>
      <c r="T85">
        <v>62</v>
      </c>
      <c r="U85">
        <v>2459</v>
      </c>
      <c r="V85">
        <v>0</v>
      </c>
      <c r="W85" s="15">
        <v>1</v>
      </c>
      <c r="Y85" t="s">
        <v>153</v>
      </c>
      <c r="Z85">
        <v>0</v>
      </c>
      <c r="AB85" t="s">
        <v>219</v>
      </c>
    </row>
    <row r="86" spans="14:28" x14ac:dyDescent="0.25">
      <c r="N86" s="24" t="s">
        <v>155</v>
      </c>
      <c r="O86" s="24"/>
      <c r="P86" s="24"/>
      <c r="Q86" s="24"/>
      <c r="R86" s="24"/>
      <c r="S86" s="24"/>
      <c r="U86" s="1">
        <f>SUM(U46:U72,U74:U83,U85)</f>
        <v>78580</v>
      </c>
    </row>
  </sheetData>
  <mergeCells count="17">
    <mergeCell ref="AS6:AW6"/>
    <mergeCell ref="AS7:AW7"/>
    <mergeCell ref="AQ1:AR2"/>
    <mergeCell ref="AS1:AX1"/>
    <mergeCell ref="AS2:AW2"/>
    <mergeCell ref="AS4:AW4"/>
    <mergeCell ref="AS5:AW5"/>
    <mergeCell ref="AH1:AH2"/>
    <mergeCell ref="AI1:AJ2"/>
    <mergeCell ref="AK1:AL2"/>
    <mergeCell ref="AM1:AN2"/>
    <mergeCell ref="AO1:AP2"/>
    <mergeCell ref="N45:AB45"/>
    <mergeCell ref="N73:AB73"/>
    <mergeCell ref="N84:AB84"/>
    <mergeCell ref="N86:S86"/>
    <mergeCell ref="AG1:AG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Code</vt:lpstr>
      <vt:lpstr>PAX</vt:lpstr>
      <vt:lpstr>FRT</vt:lpstr>
      <vt:lpstr>Sys1</vt:lpstr>
      <vt:lpstr>Offbal_Partial</vt:lpstr>
      <vt:lpstr>AWB</vt:lpstr>
      <vt:lpstr>Sys2</vt:lpstr>
      <vt:lpstr>Final UWS</vt:lpstr>
      <vt:lpstr>PALLET</vt:lpstr>
      <vt:lpstr>NOTOC</vt:lpstr>
      <vt:lpstr>VBA 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Đức Trung Nguyễn</dc:creator>
  <cp:lastModifiedBy>Đức Trung Nguyễn</cp:lastModifiedBy>
  <dcterms:created xsi:type="dcterms:W3CDTF">2015-06-05T18:17:20Z</dcterms:created>
  <dcterms:modified xsi:type="dcterms:W3CDTF">2026-08-06T03:51:15Z</dcterms:modified>
</cp:coreProperties>
</file>